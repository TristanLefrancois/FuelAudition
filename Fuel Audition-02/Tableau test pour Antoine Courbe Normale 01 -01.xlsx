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EL AUDITION 2025\Fuel Audition-02\"/>
    </mc:Choice>
  </mc:AlternateContent>
  <xr:revisionPtr revIDLastSave="0" documentId="13_ncr:1_{A6D900F6-C037-4C37-8A3D-2CE1126D99F8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Échantillon #1" sheetId="1" r:id="rId1"/>
    <sheet name="Loi normale Excel" sheetId="3" r:id="rId2"/>
    <sheet name="Échantillon #3 +Épurée (2)" sheetId="4" r:id="rId3"/>
    <sheet name="Échantillon #3 + LNS" sheetId="5" r:id="rId4"/>
    <sheet name="Échantillon #3 + LNS exp" sheetId="6" r:id="rId5"/>
  </sheets>
  <definedNames>
    <definedName name="distribution02" localSheetId="4">'Échantillon #3 + LNS exp'!$E$69</definedName>
    <definedName name="distribution02">'Échantillon #3 + LNS'!$E$69</definedName>
    <definedName name="Ecart_type02" localSheetId="3">'Échantillon #3 + LNS'!$E$56</definedName>
    <definedName name="Ecart_type02" localSheetId="4">'Échantillon #3 + LNS exp'!$E$56</definedName>
    <definedName name="Ecart_type02" localSheetId="2">'Échantillon #3 +Épurée (2)'!$E$56</definedName>
    <definedName name="Ecart_type02">'Loi normale Excel'!$E$74</definedName>
    <definedName name="Moyenne">#REF!</definedName>
    <definedName name="MOYENNE02" localSheetId="3">'Échantillon #3 + LNS'!$E$55</definedName>
    <definedName name="MOYENNE02" localSheetId="4">'Échantillon #3 + LNS exp'!$E$55</definedName>
    <definedName name="MOYENNE02" localSheetId="2">'Échantillon #3 +Épurée (2)'!$E$55</definedName>
    <definedName name="MOYENNE02">'Loi normale Excel'!$E$73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E55" i="6"/>
  <c r="E59" i="6" s="1"/>
  <c r="E56" i="6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E56" i="5"/>
  <c r="E55" i="5"/>
  <c r="F38" i="4"/>
  <c r="E56" i="4"/>
  <c r="H74" i="4" s="1"/>
  <c r="E55" i="4"/>
  <c r="F7" i="4" s="1"/>
  <c r="E74" i="3"/>
  <c r="I74" i="3" s="1"/>
  <c r="E73" i="3"/>
  <c r="F5" i="3" s="1"/>
  <c r="E66" i="6" l="1"/>
  <c r="E67" i="6"/>
  <c r="E68" i="6" s="1"/>
  <c r="E69" i="6" s="1"/>
  <c r="E58" i="6"/>
  <c r="G4" i="6" s="1"/>
  <c r="F65" i="3"/>
  <c r="F49" i="3"/>
  <c r="F33" i="3"/>
  <c r="F17" i="3"/>
  <c r="H44" i="3"/>
  <c r="F60" i="3"/>
  <c r="F44" i="3"/>
  <c r="F28" i="3"/>
  <c r="F20" i="3"/>
  <c r="H36" i="3"/>
  <c r="F67" i="3"/>
  <c r="F59" i="3"/>
  <c r="F51" i="3"/>
  <c r="F43" i="3"/>
  <c r="F35" i="3"/>
  <c r="F27" i="3"/>
  <c r="F19" i="3"/>
  <c r="F11" i="3"/>
  <c r="F68" i="3"/>
  <c r="F52" i="3"/>
  <c r="F36" i="3"/>
  <c r="F12" i="3"/>
  <c r="F66" i="3"/>
  <c r="F58" i="3"/>
  <c r="F50" i="3"/>
  <c r="F42" i="3"/>
  <c r="F34" i="3"/>
  <c r="F26" i="3"/>
  <c r="F18" i="3"/>
  <c r="F10" i="3"/>
  <c r="F46" i="4"/>
  <c r="F72" i="3"/>
  <c r="F64" i="3"/>
  <c r="F56" i="3"/>
  <c r="F48" i="3"/>
  <c r="F40" i="3"/>
  <c r="F32" i="3"/>
  <c r="F24" i="3"/>
  <c r="F16" i="3"/>
  <c r="F8" i="3"/>
  <c r="F30" i="4"/>
  <c r="F57" i="3"/>
  <c r="F9" i="3"/>
  <c r="H68" i="3"/>
  <c r="F71" i="3"/>
  <c r="F55" i="3"/>
  <c r="F47" i="3"/>
  <c r="F39" i="3"/>
  <c r="F31" i="3"/>
  <c r="F23" i="3"/>
  <c r="F15" i="3"/>
  <c r="F7" i="3"/>
  <c r="F22" i="4"/>
  <c r="F4" i="3"/>
  <c r="F25" i="3"/>
  <c r="F63" i="3"/>
  <c r="H60" i="3"/>
  <c r="F70" i="3"/>
  <c r="F62" i="3"/>
  <c r="F54" i="3"/>
  <c r="F46" i="3"/>
  <c r="F38" i="3"/>
  <c r="F30" i="3"/>
  <c r="F22" i="3"/>
  <c r="F14" i="3"/>
  <c r="F6" i="3"/>
  <c r="F41" i="3"/>
  <c r="H52" i="3"/>
  <c r="F69" i="3"/>
  <c r="F61" i="3"/>
  <c r="F53" i="3"/>
  <c r="F45" i="3"/>
  <c r="F37" i="3"/>
  <c r="F29" i="3"/>
  <c r="F21" i="3"/>
  <c r="F13" i="3"/>
  <c r="E58" i="5"/>
  <c r="G4" i="5" s="1"/>
  <c r="H4" i="5" s="1"/>
  <c r="E59" i="5"/>
  <c r="E66" i="5"/>
  <c r="E67" i="5"/>
  <c r="F54" i="4"/>
  <c r="F6" i="4"/>
  <c r="F53" i="4"/>
  <c r="F37" i="4"/>
  <c r="F21" i="4"/>
  <c r="F5" i="4"/>
  <c r="F44" i="4"/>
  <c r="F36" i="4"/>
  <c r="F28" i="4"/>
  <c r="F20" i="4"/>
  <c r="F12" i="4"/>
  <c r="F51" i="4"/>
  <c r="F43" i="4"/>
  <c r="F35" i="4"/>
  <c r="F27" i="4"/>
  <c r="F19" i="4"/>
  <c r="F11" i="4"/>
  <c r="F50" i="4"/>
  <c r="F42" i="4"/>
  <c r="F34" i="4"/>
  <c r="F26" i="4"/>
  <c r="F18" i="4"/>
  <c r="F10" i="4"/>
  <c r="F14" i="4"/>
  <c r="F45" i="4"/>
  <c r="F29" i="4"/>
  <c r="F13" i="4"/>
  <c r="F52" i="4"/>
  <c r="F49" i="4"/>
  <c r="F41" i="4"/>
  <c r="F33" i="4"/>
  <c r="F25" i="4"/>
  <c r="F17" i="4"/>
  <c r="F9" i="4"/>
  <c r="F48" i="4"/>
  <c r="F40" i="4"/>
  <c r="F32" i="4"/>
  <c r="F24" i="4"/>
  <c r="F16" i="4"/>
  <c r="F8" i="4"/>
  <c r="F4" i="4"/>
  <c r="F47" i="4"/>
  <c r="F39" i="4"/>
  <c r="F31" i="4"/>
  <c r="F23" i="4"/>
  <c r="F15" i="4"/>
  <c r="H59" i="3"/>
  <c r="H35" i="3"/>
  <c r="H11" i="3"/>
  <c r="H65" i="3"/>
  <c r="H49" i="3"/>
  <c r="H41" i="3"/>
  <c r="H25" i="3"/>
  <c r="H9" i="3"/>
  <c r="H64" i="3"/>
  <c r="H48" i="3"/>
  <c r="H32" i="3"/>
  <c r="H8" i="3"/>
  <c r="H28" i="3"/>
  <c r="H20" i="3"/>
  <c r="H12" i="3"/>
  <c r="H67" i="3"/>
  <c r="H43" i="3"/>
  <c r="H19" i="3"/>
  <c r="H4" i="3"/>
  <c r="H57" i="3"/>
  <c r="H33" i="3"/>
  <c r="H17" i="3"/>
  <c r="H72" i="3"/>
  <c r="H56" i="3"/>
  <c r="H40" i="3"/>
  <c r="H24" i="3"/>
  <c r="H16" i="3"/>
  <c r="H71" i="3"/>
  <c r="H63" i="3"/>
  <c r="H55" i="3"/>
  <c r="H47" i="3"/>
  <c r="H39" i="3"/>
  <c r="H31" i="3"/>
  <c r="H23" i="3"/>
  <c r="H15" i="3"/>
  <c r="H7" i="3"/>
  <c r="H70" i="3"/>
  <c r="H62" i="3"/>
  <c r="H54" i="3"/>
  <c r="H46" i="3"/>
  <c r="H38" i="3"/>
  <c r="H30" i="3"/>
  <c r="H22" i="3"/>
  <c r="H14" i="3"/>
  <c r="H6" i="3"/>
  <c r="H69" i="3"/>
  <c r="H61" i="3"/>
  <c r="H53" i="3"/>
  <c r="H45" i="3"/>
  <c r="H37" i="3"/>
  <c r="H29" i="3"/>
  <c r="H21" i="3"/>
  <c r="H13" i="3"/>
  <c r="H5" i="3"/>
  <c r="H51" i="3"/>
  <c r="H27" i="3"/>
  <c r="H66" i="3"/>
  <c r="H58" i="3"/>
  <c r="H50" i="3"/>
  <c r="H42" i="3"/>
  <c r="H34" i="3"/>
  <c r="H26" i="3"/>
  <c r="H18" i="3"/>
  <c r="H10" i="3"/>
  <c r="G5" i="6" l="1"/>
  <c r="H4" i="6"/>
  <c r="E68" i="5"/>
  <c r="E69" i="5" s="1"/>
  <c r="G5" i="5" s="1"/>
  <c r="H73" i="3"/>
  <c r="I73" i="3" s="1"/>
  <c r="H73" i="4"/>
  <c r="H74" i="3"/>
  <c r="E74" i="1"/>
  <c r="E73" i="1"/>
  <c r="G6" i="6" l="1"/>
  <c r="H5" i="6"/>
  <c r="H5" i="5"/>
  <c r="G6" i="5"/>
  <c r="G7" i="5" s="1"/>
  <c r="G7" i="6" l="1"/>
  <c r="H6" i="6"/>
  <c r="H6" i="5"/>
  <c r="G8" i="5"/>
  <c r="H7" i="5"/>
  <c r="G8" i="6" l="1"/>
  <c r="H7" i="6"/>
  <c r="G9" i="5"/>
  <c r="H8" i="5"/>
  <c r="G9" i="6" l="1"/>
  <c r="H8" i="6"/>
  <c r="G10" i="5"/>
  <c r="H9" i="5"/>
  <c r="G10" i="6" l="1"/>
  <c r="H9" i="6"/>
  <c r="G11" i="5"/>
  <c r="H10" i="5"/>
  <c r="G11" i="6" l="1"/>
  <c r="H10" i="6"/>
  <c r="G12" i="5"/>
  <c r="H11" i="5"/>
  <c r="G12" i="6" l="1"/>
  <c r="H11" i="6"/>
  <c r="G13" i="5"/>
  <c r="H12" i="5"/>
  <c r="G13" i="6" l="1"/>
  <c r="H12" i="6"/>
  <c r="G14" i="5"/>
  <c r="H13" i="5"/>
  <c r="G14" i="6" l="1"/>
  <c r="H13" i="6"/>
  <c r="G15" i="5"/>
  <c r="H14" i="5"/>
  <c r="G15" i="6" l="1"/>
  <c r="H14" i="6"/>
  <c r="G16" i="5"/>
  <c r="H15" i="5"/>
  <c r="G16" i="6" l="1"/>
  <c r="H15" i="6"/>
  <c r="G17" i="5"/>
  <c r="H16" i="5"/>
  <c r="G17" i="6" l="1"/>
  <c r="H16" i="6"/>
  <c r="G18" i="5"/>
  <c r="H17" i="5"/>
  <c r="G18" i="6" l="1"/>
  <c r="H17" i="6"/>
  <c r="G19" i="5"/>
  <c r="H18" i="5"/>
  <c r="G19" i="6" l="1"/>
  <c r="H18" i="6"/>
  <c r="G20" i="5"/>
  <c r="H19" i="5"/>
  <c r="G20" i="6" l="1"/>
  <c r="H19" i="6"/>
  <c r="G21" i="5"/>
  <c r="H20" i="5"/>
  <c r="G21" i="6" l="1"/>
  <c r="H20" i="6"/>
  <c r="G22" i="5"/>
  <c r="H21" i="5"/>
  <c r="G22" i="6" l="1"/>
  <c r="H21" i="6"/>
  <c r="G23" i="5"/>
  <c r="H22" i="5"/>
  <c r="G23" i="6" l="1"/>
  <c r="H22" i="6"/>
  <c r="G24" i="5"/>
  <c r="H23" i="5"/>
  <c r="G24" i="6" l="1"/>
  <c r="H23" i="6"/>
  <c r="G25" i="5"/>
  <c r="H24" i="5"/>
  <c r="G25" i="6" l="1"/>
  <c r="H24" i="6"/>
  <c r="G26" i="5"/>
  <c r="H25" i="5"/>
  <c r="G26" i="6" l="1"/>
  <c r="H25" i="6"/>
  <c r="G27" i="5"/>
  <c r="H26" i="5"/>
  <c r="G27" i="6" l="1"/>
  <c r="H26" i="6"/>
  <c r="G28" i="5"/>
  <c r="H27" i="5"/>
  <c r="G28" i="6" l="1"/>
  <c r="H27" i="6"/>
  <c r="G29" i="5"/>
  <c r="H28" i="5"/>
  <c r="G29" i="6" l="1"/>
  <c r="H28" i="6"/>
  <c r="G30" i="5"/>
  <c r="H29" i="5"/>
  <c r="G30" i="6" l="1"/>
  <c r="H29" i="6"/>
  <c r="G31" i="5"/>
  <c r="H30" i="5"/>
  <c r="H30" i="6" l="1"/>
  <c r="G31" i="6"/>
  <c r="G32" i="5"/>
  <c r="H31" i="5"/>
  <c r="G32" i="6" l="1"/>
  <c r="H31" i="6"/>
  <c r="G33" i="5"/>
  <c r="H32" i="5"/>
  <c r="G33" i="6" l="1"/>
  <c r="H32" i="6"/>
  <c r="G34" i="5"/>
  <c r="H33" i="5"/>
  <c r="G34" i="6" l="1"/>
  <c r="H33" i="6"/>
  <c r="G35" i="5"/>
  <c r="H34" i="5"/>
  <c r="G35" i="6" l="1"/>
  <c r="H34" i="6"/>
  <c r="G36" i="5"/>
  <c r="H35" i="5"/>
  <c r="G36" i="6" l="1"/>
  <c r="H35" i="6"/>
  <c r="G37" i="5"/>
  <c r="H36" i="5"/>
  <c r="G37" i="6" l="1"/>
  <c r="H36" i="6"/>
  <c r="G38" i="5"/>
  <c r="H37" i="5"/>
  <c r="G38" i="6" l="1"/>
  <c r="H37" i="6"/>
  <c r="G39" i="5"/>
  <c r="H38" i="5"/>
  <c r="G39" i="6" l="1"/>
  <c r="H38" i="6"/>
  <c r="G40" i="5"/>
  <c r="H39" i="5"/>
  <c r="G40" i="6" l="1"/>
  <c r="H39" i="6"/>
  <c r="G41" i="5"/>
  <c r="H40" i="5"/>
  <c r="G41" i="6" l="1"/>
  <c r="H40" i="6"/>
  <c r="G42" i="5"/>
  <c r="H41" i="5"/>
  <c r="G42" i="6" l="1"/>
  <c r="H41" i="6"/>
  <c r="G43" i="5"/>
  <c r="H42" i="5"/>
  <c r="G43" i="6" l="1"/>
  <c r="H42" i="6"/>
  <c r="G44" i="5"/>
  <c r="H43" i="5"/>
  <c r="G44" i="6" l="1"/>
  <c r="H43" i="6"/>
  <c r="G45" i="5"/>
  <c r="H44" i="5"/>
  <c r="G45" i="6" l="1"/>
  <c r="H44" i="6"/>
  <c r="G46" i="5"/>
  <c r="H45" i="5"/>
  <c r="G46" i="6" l="1"/>
  <c r="H45" i="6"/>
  <c r="G47" i="5"/>
  <c r="H46" i="5"/>
  <c r="G47" i="6" l="1"/>
  <c r="H46" i="6"/>
  <c r="G48" i="5"/>
  <c r="H47" i="5"/>
  <c r="G48" i="6" l="1"/>
  <c r="H47" i="6"/>
  <c r="G49" i="5"/>
  <c r="H48" i="5"/>
  <c r="G49" i="6" l="1"/>
  <c r="H48" i="6"/>
  <c r="G50" i="5"/>
  <c r="H49" i="5"/>
  <c r="G50" i="6" l="1"/>
  <c r="H49" i="6"/>
  <c r="G51" i="5"/>
  <c r="H50" i="5"/>
  <c r="G51" i="6" l="1"/>
  <c r="H50" i="6"/>
  <c r="G52" i="5"/>
  <c r="H51" i="5"/>
  <c r="G52" i="6" l="1"/>
  <c r="H51" i="6"/>
  <c r="G53" i="5"/>
  <c r="H52" i="5"/>
  <c r="G53" i="6" l="1"/>
  <c r="H52" i="6"/>
  <c r="G54" i="5"/>
  <c r="H53" i="5"/>
  <c r="G54" i="6" l="1"/>
  <c r="H53" i="6"/>
  <c r="G55" i="5"/>
  <c r="H54" i="5"/>
  <c r="G55" i="6" l="1"/>
  <c r="H54" i="6"/>
  <c r="G56" i="5"/>
  <c r="H55" i="5"/>
  <c r="G56" i="6" l="1"/>
  <c r="H55" i="6"/>
  <c r="G57" i="5"/>
  <c r="H56" i="5"/>
  <c r="G57" i="6" l="1"/>
  <c r="H56" i="6"/>
  <c r="G58" i="5"/>
  <c r="H57" i="5"/>
  <c r="G58" i="6" l="1"/>
  <c r="H57" i="6"/>
  <c r="G59" i="5"/>
  <c r="H58" i="5"/>
  <c r="G59" i="6" l="1"/>
  <c r="H58" i="6"/>
  <c r="G60" i="5"/>
  <c r="H59" i="5"/>
  <c r="G60" i="6" l="1"/>
  <c r="H59" i="6"/>
  <c r="G61" i="5"/>
  <c r="H60" i="5"/>
  <c r="G61" i="6" l="1"/>
  <c r="H60" i="6"/>
  <c r="G62" i="5"/>
  <c r="H61" i="5"/>
  <c r="G62" i="6" l="1"/>
  <c r="H61" i="6"/>
  <c r="G63" i="5"/>
  <c r="H62" i="5"/>
  <c r="G63" i="6" l="1"/>
  <c r="H62" i="6"/>
  <c r="G64" i="5"/>
  <c r="H64" i="5" s="1"/>
  <c r="H63" i="5"/>
  <c r="G64" i="6" l="1"/>
  <c r="H64" i="6" s="1"/>
  <c r="H63" i="6"/>
</calcChain>
</file>

<file path=xl/sharedStrings.xml><?xml version="1.0" encoding="utf-8"?>
<sst xmlns="http://schemas.openxmlformats.org/spreadsheetml/2006/main" count="336" uniqueCount="61">
  <si>
    <t xml:space="preserve">JMJ Medical </t>
  </si>
  <si>
    <t>Camionaire Montréal</t>
  </si>
  <si>
    <t>MV Express</t>
  </si>
  <si>
    <t>Kiewitt</t>
  </si>
  <si>
    <t>Safety-Kleen Chambly</t>
  </si>
  <si>
    <t>Safety-Kleen St-Augustin</t>
  </si>
  <si>
    <t>Camionaire Darmouth</t>
  </si>
  <si>
    <t>Dolbec Récupération</t>
  </si>
  <si>
    <t>Viande Francoeur</t>
  </si>
  <si>
    <t>UPS Québec</t>
  </si>
  <si>
    <t>UPS Brossard</t>
  </si>
  <si>
    <t>UPS Blainville</t>
  </si>
  <si>
    <t>ATS Qc</t>
  </si>
  <si>
    <t>Civisol</t>
  </si>
  <si>
    <t>Griffith Cartage</t>
  </si>
  <si>
    <t>Thomas Fruits &amp; Legumes(QC)</t>
  </si>
  <si>
    <t xml:space="preserve">BFI - Boisbriand </t>
  </si>
  <si>
    <t>Thomas Nutrient Solutions</t>
  </si>
  <si>
    <t>Newalta</t>
  </si>
  <si>
    <t>Fortigo</t>
  </si>
  <si>
    <t>Nolan Transport</t>
  </si>
  <si>
    <t>Snowbird Transportation</t>
  </si>
  <si>
    <t>Janco Steel</t>
  </si>
  <si>
    <t>Black &amp; Mcdonald</t>
  </si>
  <si>
    <t>Earth Fresh</t>
  </si>
  <si>
    <t>Davey Tree</t>
  </si>
  <si>
    <t>Black &amp; McDonald</t>
  </si>
  <si>
    <t>GFS</t>
  </si>
  <si>
    <t>Safety-Kleen</t>
  </si>
  <si>
    <t>Anood Trucking</t>
  </si>
  <si>
    <t>Wasteco Barrie</t>
  </si>
  <si>
    <t>Event Rental</t>
  </si>
  <si>
    <t>Dave Tree</t>
  </si>
  <si>
    <t>Praxair-Hamilton</t>
  </si>
  <si>
    <t xml:space="preserve">Bunzl Trucking Burlington </t>
  </si>
  <si>
    <t>Entera</t>
  </si>
  <si>
    <t xml:space="preserve">Safety-Kleen </t>
  </si>
  <si>
    <t xml:space="preserve">Swish </t>
  </si>
  <si>
    <t>Wajax Power</t>
  </si>
  <si>
    <t>Praxair-Kitchener</t>
  </si>
  <si>
    <t>Midpoint Transport</t>
  </si>
  <si>
    <t>R Bailey(Toronto)</t>
  </si>
  <si>
    <t>Kiewit (Mass Électric)</t>
  </si>
  <si>
    <t>Viandes Francoeur</t>
  </si>
  <si>
    <t>ATS Québec</t>
  </si>
  <si>
    <t>Marge</t>
  </si>
  <si>
    <t>Vol/month</t>
  </si>
  <si>
    <t>Moyenne</t>
  </si>
  <si>
    <t>Ecart type</t>
  </si>
  <si>
    <t>Différence avec la moyenne</t>
  </si>
  <si>
    <t>fréquence</t>
  </si>
  <si>
    <t>abscisse écart type -3, +3</t>
  </si>
  <si>
    <t>loi normale standard</t>
  </si>
  <si>
    <t>écart entre 
écart type
+ 3 et - 3</t>
  </si>
  <si>
    <t>Ecart T x 3</t>
  </si>
  <si>
    <t>Ecart T x -3</t>
  </si>
  <si>
    <t>écart entre
données</t>
  </si>
  <si>
    <t>Valeur des Ecart-types</t>
  </si>
  <si>
    <t>cents</t>
  </si>
  <si>
    <t>Distribution02</t>
  </si>
  <si>
    <t>variance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</si>
</sst>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_);\(#,##0.000\)"/>
    <numFmt numFmtId="165" formatCode="0.0"/>
    <numFmt numFmtId="166" formatCode="0.000"/>
    <numFmt numFmtId="167" formatCode="#,##0.000000000000000000000000_);\(#,##0.000000000000000000000000\)"/>
    <numFmt numFmtId="168" formatCode="#,##0.000000_);\(#,##0.0000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65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66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0" xfId="0" applyFill="1"/>
    <xf numFmtId="168" fontId="0" fillId="3" borderId="0" xfId="0" applyNumberFormat="1" applyFill="1"/>
    <xf numFmtId="3" fontId="1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'Échantillon #3 +Épurée (2)'!$F$4:$F$54</c:f>
              <c:numCache>
                <c:formatCode>General</c:formatCode>
                <c:ptCount val="51"/>
                <c:pt idx="0">
                  <c:v>2.4500236402542184</c:v>
                </c:pt>
                <c:pt idx="1">
                  <c:v>3.8142171224250081</c:v>
                </c:pt>
                <c:pt idx="2">
                  <c:v>5.4991255673333095</c:v>
                </c:pt>
                <c:pt idx="3">
                  <c:v>5.4991255673333095</c:v>
                </c:pt>
                <c:pt idx="4">
                  <c:v>5.4991255673333095</c:v>
                </c:pt>
                <c:pt idx="5">
                  <c:v>7.3423477556673129</c:v>
                </c:pt>
                <c:pt idx="6">
                  <c:v>7.3423477556673129</c:v>
                </c:pt>
                <c:pt idx="7">
                  <c:v>7.3423477556673129</c:v>
                </c:pt>
                <c:pt idx="8">
                  <c:v>7.3423477556673129</c:v>
                </c:pt>
                <c:pt idx="9">
                  <c:v>7.3423477556673129</c:v>
                </c:pt>
                <c:pt idx="10">
                  <c:v>8.2432887953725391</c:v>
                </c:pt>
                <c:pt idx="11">
                  <c:v>10.396253079409998</c:v>
                </c:pt>
                <c:pt idx="12">
                  <c:v>10.396253079409998</c:v>
                </c:pt>
                <c:pt idx="13">
                  <c:v>10.396253079409998</c:v>
                </c:pt>
                <c:pt idx="14">
                  <c:v>10.396253079409998</c:v>
                </c:pt>
                <c:pt idx="15">
                  <c:v>10.396253079409998</c:v>
                </c:pt>
                <c:pt idx="16">
                  <c:v>10.396253079409998</c:v>
                </c:pt>
                <c:pt idx="17">
                  <c:v>10.396253079409998</c:v>
                </c:pt>
                <c:pt idx="18">
                  <c:v>10.396253079409998</c:v>
                </c:pt>
                <c:pt idx="19">
                  <c:v>10.396253079409998</c:v>
                </c:pt>
                <c:pt idx="20">
                  <c:v>10.396253079409998</c:v>
                </c:pt>
                <c:pt idx="21">
                  <c:v>10.396253079409998</c:v>
                </c:pt>
                <c:pt idx="22">
                  <c:v>10.396253079409998</c:v>
                </c:pt>
                <c:pt idx="23">
                  <c:v>10.396253079409998</c:v>
                </c:pt>
                <c:pt idx="24">
                  <c:v>10.396253079409998</c:v>
                </c:pt>
                <c:pt idx="25">
                  <c:v>10.396253079409998</c:v>
                </c:pt>
                <c:pt idx="26">
                  <c:v>10.396253079409998</c:v>
                </c:pt>
                <c:pt idx="27">
                  <c:v>10.809248388668978</c:v>
                </c:pt>
                <c:pt idx="28">
                  <c:v>11.024970154383414</c:v>
                </c:pt>
                <c:pt idx="29">
                  <c:v>11.024970154383414</c:v>
                </c:pt>
                <c:pt idx="30">
                  <c:v>11.024970154383414</c:v>
                </c:pt>
                <c:pt idx="31">
                  <c:v>10.827572250005321</c:v>
                </c:pt>
                <c:pt idx="32">
                  <c:v>10.827572250005321</c:v>
                </c:pt>
                <c:pt idx="33">
                  <c:v>10.827572250005321</c:v>
                </c:pt>
                <c:pt idx="34">
                  <c:v>10.827572250005321</c:v>
                </c:pt>
                <c:pt idx="35">
                  <c:v>10.827572250005321</c:v>
                </c:pt>
                <c:pt idx="36">
                  <c:v>10.827572250005321</c:v>
                </c:pt>
                <c:pt idx="37">
                  <c:v>10.827572250005321</c:v>
                </c:pt>
                <c:pt idx="38">
                  <c:v>10.827572250005321</c:v>
                </c:pt>
                <c:pt idx="39">
                  <c:v>10.827572250005321</c:v>
                </c:pt>
                <c:pt idx="40">
                  <c:v>10.827572250005321</c:v>
                </c:pt>
                <c:pt idx="41">
                  <c:v>9.1250684992188997</c:v>
                </c:pt>
                <c:pt idx="42">
                  <c:v>9.1250684992188997</c:v>
                </c:pt>
                <c:pt idx="43">
                  <c:v>9.1250684992188997</c:v>
                </c:pt>
                <c:pt idx="44">
                  <c:v>7.3964363207208352</c:v>
                </c:pt>
                <c:pt idx="45">
                  <c:v>4.6738702034575699</c:v>
                </c:pt>
                <c:pt idx="46">
                  <c:v>2.484850254747665</c:v>
                </c:pt>
                <c:pt idx="47">
                  <c:v>1.111458484315172</c:v>
                </c:pt>
                <c:pt idx="48">
                  <c:v>1.111458484315172</c:v>
                </c:pt>
                <c:pt idx="49">
                  <c:v>0.13243038457881459</c:v>
                </c:pt>
                <c:pt idx="50">
                  <c:v>0.13243038457881459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38-4F49-987E-214899FDB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14824"/>
        <c:axId val="136015152"/>
      </c:scatterChart>
      <c:valAx>
        <c:axId val="13601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15152"/>
        <c:crosses val="autoZero"/>
        <c:crossBetween val="midCat"/>
      </c:valAx>
      <c:valAx>
        <c:axId val="1360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14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'Échantillon #3 + LNS'!$G$4:$G$64</c:f>
              <c:numCache>
                <c:formatCode>General</c:formatCode>
                <c:ptCount val="61"/>
                <c:pt idx="0">
                  <c:v>4.3826765429831327E-3</c:v>
                </c:pt>
                <c:pt idx="1">
                  <c:v>7.9914892856680093E-3</c:v>
                </c:pt>
                <c:pt idx="2">
                  <c:v>1.1600302028352886E-2</c:v>
                </c:pt>
                <c:pt idx="3">
                  <c:v>1.5209114771037762E-2</c:v>
                </c:pt>
                <c:pt idx="4">
                  <c:v>1.8817927513722639E-2</c:v>
                </c:pt>
                <c:pt idx="5">
                  <c:v>2.2426740256407514E-2</c:v>
                </c:pt>
                <c:pt idx="6">
                  <c:v>2.6035552999092389E-2</c:v>
                </c:pt>
                <c:pt idx="7">
                  <c:v>2.9644365741777264E-2</c:v>
                </c:pt>
                <c:pt idx="8">
                  <c:v>3.3253178484462138E-2</c:v>
                </c:pt>
                <c:pt idx="9">
                  <c:v>3.6861991227147013E-2</c:v>
                </c:pt>
                <c:pt idx="10">
                  <c:v>4.0470803969831888E-2</c:v>
                </c:pt>
                <c:pt idx="11">
                  <c:v>4.4079616712516763E-2</c:v>
                </c:pt>
                <c:pt idx="12">
                  <c:v>4.7688429455201638E-2</c:v>
                </c:pt>
                <c:pt idx="13">
                  <c:v>5.1297242197886513E-2</c:v>
                </c:pt>
                <c:pt idx="14">
                  <c:v>5.4906054940571387E-2</c:v>
                </c:pt>
                <c:pt idx="15">
                  <c:v>5.8514867683256262E-2</c:v>
                </c:pt>
                <c:pt idx="16">
                  <c:v>6.2123680425941137E-2</c:v>
                </c:pt>
                <c:pt idx="17">
                  <c:v>6.5732493168626019E-2</c:v>
                </c:pt>
                <c:pt idx="18">
                  <c:v>6.9341305911310894E-2</c:v>
                </c:pt>
                <c:pt idx="19">
                  <c:v>7.2950118653995769E-2</c:v>
                </c:pt>
                <c:pt idx="20">
                  <c:v>7.6558931396680643E-2</c:v>
                </c:pt>
                <c:pt idx="21">
                  <c:v>8.0167744139365518E-2</c:v>
                </c:pt>
                <c:pt idx="22">
                  <c:v>8.3776556882050393E-2</c:v>
                </c:pt>
                <c:pt idx="23">
                  <c:v>8.7385369624735268E-2</c:v>
                </c:pt>
                <c:pt idx="24">
                  <c:v>9.0994182367420143E-2</c:v>
                </c:pt>
                <c:pt idx="25">
                  <c:v>9.4602995110105018E-2</c:v>
                </c:pt>
                <c:pt idx="26">
                  <c:v>9.8211807852789892E-2</c:v>
                </c:pt>
                <c:pt idx="27">
                  <c:v>0.10182062059547477</c:v>
                </c:pt>
                <c:pt idx="28">
                  <c:v>0.10542943333815964</c:v>
                </c:pt>
                <c:pt idx="29">
                  <c:v>0.10903824608084452</c:v>
                </c:pt>
                <c:pt idx="30">
                  <c:v>0.11264705882352939</c:v>
                </c:pt>
                <c:pt idx="31">
                  <c:v>0.11625587156621427</c:v>
                </c:pt>
                <c:pt idx="32">
                  <c:v>0.11986468430889914</c:v>
                </c:pt>
                <c:pt idx="33">
                  <c:v>0.12347349705158402</c:v>
                </c:pt>
                <c:pt idx="34">
                  <c:v>0.12708230979426891</c:v>
                </c:pt>
                <c:pt idx="35">
                  <c:v>0.13069112253695378</c:v>
                </c:pt>
                <c:pt idx="36">
                  <c:v>0.13429993527963865</c:v>
                </c:pt>
                <c:pt idx="37">
                  <c:v>0.13790874802232353</c:v>
                </c:pt>
                <c:pt idx="38">
                  <c:v>0.1415175607650084</c:v>
                </c:pt>
                <c:pt idx="39">
                  <c:v>0.14512637350769328</c:v>
                </c:pt>
                <c:pt idx="40">
                  <c:v>0.14873518625037815</c:v>
                </c:pt>
                <c:pt idx="41">
                  <c:v>0.15234399899306303</c:v>
                </c:pt>
                <c:pt idx="42">
                  <c:v>0.1559528117357479</c:v>
                </c:pt>
                <c:pt idx="43">
                  <c:v>0.15956162447843278</c:v>
                </c:pt>
                <c:pt idx="44">
                  <c:v>0.16317043722111765</c:v>
                </c:pt>
                <c:pt idx="45">
                  <c:v>0.16677924996380253</c:v>
                </c:pt>
                <c:pt idx="46">
                  <c:v>0.1703880627064874</c:v>
                </c:pt>
                <c:pt idx="47">
                  <c:v>0.17399687544917228</c:v>
                </c:pt>
                <c:pt idx="48">
                  <c:v>0.17760568819185715</c:v>
                </c:pt>
                <c:pt idx="49">
                  <c:v>0.18121450093454203</c:v>
                </c:pt>
                <c:pt idx="50">
                  <c:v>0.1848233136772269</c:v>
                </c:pt>
                <c:pt idx="51">
                  <c:v>0.18843212641991178</c:v>
                </c:pt>
                <c:pt idx="52">
                  <c:v>0.19204093916259665</c:v>
                </c:pt>
                <c:pt idx="53">
                  <c:v>0.19564975190528153</c:v>
                </c:pt>
                <c:pt idx="54">
                  <c:v>0.1992585646479664</c:v>
                </c:pt>
                <c:pt idx="55">
                  <c:v>0.20286737739065128</c:v>
                </c:pt>
                <c:pt idx="56">
                  <c:v>0.20647619013333615</c:v>
                </c:pt>
                <c:pt idx="57">
                  <c:v>0.21008500287602103</c:v>
                </c:pt>
                <c:pt idx="58">
                  <c:v>0.2136938156187059</c:v>
                </c:pt>
                <c:pt idx="59">
                  <c:v>0.21730262836139078</c:v>
                </c:pt>
                <c:pt idx="60">
                  <c:v>0.22091144110407565</c:v>
                </c:pt>
              </c:numCache>
            </c:numRef>
          </c:xVal>
          <c:yVal>
            <c:numRef>
              <c:f>'Échantillon #3 + LNS'!$H$4:$H$64</c:f>
              <c:numCache>
                <c:formatCode>General</c:formatCode>
                <c:ptCount val="61"/>
                <c:pt idx="0">
                  <c:v>0.12280627253163627</c:v>
                </c:pt>
                <c:pt idx="1">
                  <c:v>0.16494434164925112</c:v>
                </c:pt>
                <c:pt idx="2">
                  <c:v>0.21933672227866963</c:v>
                </c:pt>
                <c:pt idx="3">
                  <c:v>0.28876352300478869</c:v>
                </c:pt>
                <c:pt idx="4">
                  <c:v>0.37638332055933121</c:v>
                </c:pt>
                <c:pt idx="5">
                  <c:v>0.48570822991851526</c:v>
                </c:pt>
                <c:pt idx="6">
                  <c:v>0.62055118654291397</c:v>
                </c:pt>
                <c:pt idx="7">
                  <c:v>0.78494063730573249</c:v>
                </c:pt>
                <c:pt idx="8">
                  <c:v>0.98299899096008814</c:v>
                </c:pt>
                <c:pt idx="9">
                  <c:v>1.218782993647499</c:v>
                </c:pt>
                <c:pt idx="10">
                  <c:v>1.4960866734531624</c:v>
                </c:pt>
                <c:pt idx="11">
                  <c:v>1.8182105709885028</c:v>
                </c:pt>
                <c:pt idx="12">
                  <c:v>2.1877044870484723</c:v>
                </c:pt>
                <c:pt idx="13">
                  <c:v>2.6060946932623725</c:v>
                </c:pt>
                <c:pt idx="14">
                  <c:v>3.073610147943914</c:v>
                </c:pt>
                <c:pt idx="15">
                  <c:v>3.5889253585802132</c:v>
                </c:pt>
                <c:pt idx="16">
                  <c:v>4.1489397292570747</c:v>
                </c:pt>
                <c:pt idx="17">
                  <c:v>4.7486141361913061</c:v>
                </c:pt>
                <c:pt idx="18">
                  <c:v>5.3808847626364429</c:v>
                </c:pt>
                <c:pt idx="19">
                  <c:v>6.0366716858374092</c:v>
                </c:pt>
                <c:pt idx="20">
                  <c:v>6.7049952926934724</c:v>
                </c:pt>
                <c:pt idx="21">
                  <c:v>7.3732074471892135</c:v>
                </c:pt>
                <c:pt idx="22">
                  <c:v>8.02733678406263</c:v>
                </c:pt>
                <c:pt idx="23">
                  <c:v>8.6525390933543171</c:v>
                </c:pt>
                <c:pt idx="24">
                  <c:v>9.2336351773100809</c:v>
                </c:pt>
                <c:pt idx="25">
                  <c:v>9.7557105859244597</c:v>
                </c:pt>
                <c:pt idx="26">
                  <c:v>10.204745066083378</c:v>
                </c:pt>
                <c:pt idx="27">
                  <c:v>10.56823511371166</c:v>
                </c:pt>
                <c:pt idx="28">
                  <c:v>10.835771259345773</c:v>
                </c:pt>
                <c:pt idx="29">
                  <c:v>10.999532970549417</c:v>
                </c:pt>
                <c:pt idx="30">
                  <c:v>11.054668359007968</c:v>
                </c:pt>
                <c:pt idx="31">
                  <c:v>10.999532970549419</c:v>
                </c:pt>
                <c:pt idx="32">
                  <c:v>10.83577125934578</c:v>
                </c:pt>
                <c:pt idx="33">
                  <c:v>10.568235113711669</c:v>
                </c:pt>
                <c:pt idx="34">
                  <c:v>10.204745066083385</c:v>
                </c:pt>
                <c:pt idx="35">
                  <c:v>9.7557105859244686</c:v>
                </c:pt>
                <c:pt idx="36">
                  <c:v>9.2336351773100898</c:v>
                </c:pt>
                <c:pt idx="37">
                  <c:v>8.6525390933543296</c:v>
                </c:pt>
                <c:pt idx="38">
                  <c:v>8.0273367840626424</c:v>
                </c:pt>
                <c:pt idx="39">
                  <c:v>7.3732074471892268</c:v>
                </c:pt>
                <c:pt idx="40">
                  <c:v>6.7049952926934848</c:v>
                </c:pt>
                <c:pt idx="41">
                  <c:v>6.0366716858374234</c:v>
                </c:pt>
                <c:pt idx="42">
                  <c:v>5.3808847626364553</c:v>
                </c:pt>
                <c:pt idx="43">
                  <c:v>4.7486141361913186</c:v>
                </c:pt>
                <c:pt idx="44">
                  <c:v>4.148939729257088</c:v>
                </c:pt>
                <c:pt idx="45">
                  <c:v>3.5889253585802239</c:v>
                </c:pt>
                <c:pt idx="46">
                  <c:v>3.0736101479439246</c:v>
                </c:pt>
                <c:pt idx="47">
                  <c:v>2.6060946932623823</c:v>
                </c:pt>
                <c:pt idx="48">
                  <c:v>2.1877044870484812</c:v>
                </c:pt>
                <c:pt idx="49">
                  <c:v>1.8182105709885106</c:v>
                </c:pt>
                <c:pt idx="50">
                  <c:v>1.4960866734531697</c:v>
                </c:pt>
                <c:pt idx="51">
                  <c:v>1.2187829936475052</c:v>
                </c:pt>
                <c:pt idx="52">
                  <c:v>0.98299899096009291</c:v>
                </c:pt>
                <c:pt idx="53">
                  <c:v>0.78494063730573638</c:v>
                </c:pt>
                <c:pt idx="54">
                  <c:v>0.62055118654291774</c:v>
                </c:pt>
                <c:pt idx="55">
                  <c:v>0.48570822991851786</c:v>
                </c:pt>
                <c:pt idx="56">
                  <c:v>0.37638332055933338</c:v>
                </c:pt>
                <c:pt idx="57">
                  <c:v>0.28876352300479075</c:v>
                </c:pt>
                <c:pt idx="58">
                  <c:v>0.21933672227867096</c:v>
                </c:pt>
                <c:pt idx="59">
                  <c:v>0.16494434164925231</c:v>
                </c:pt>
                <c:pt idx="60">
                  <c:v>0.12280627253163724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6-4E09-AD24-438147F5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15096"/>
        <c:axId val="389113456"/>
      </c:scatterChart>
      <c:valAx>
        <c:axId val="38911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Marge</a:t>
                </a:r>
                <a:r>
                  <a:rPr lang="fr-CA" baseline="0"/>
                  <a:t> en Cents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113456"/>
        <c:crosses val="autoZero"/>
        <c:crossBetween val="midCat"/>
      </c:valAx>
      <c:valAx>
        <c:axId val="3891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115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'Échantillon #3 + LNS exp'!$G$4:$G$64</c:f>
              <c:numCache>
                <c:formatCode>General</c:formatCode>
                <c:ptCount val="61"/>
                <c:pt idx="0">
                  <c:v>4.3826765429831327E-3</c:v>
                </c:pt>
                <c:pt idx="1">
                  <c:v>7.9914892856680093E-3</c:v>
                </c:pt>
                <c:pt idx="2">
                  <c:v>1.1600302028352886E-2</c:v>
                </c:pt>
                <c:pt idx="3">
                  <c:v>1.5209114771037762E-2</c:v>
                </c:pt>
                <c:pt idx="4">
                  <c:v>1.8817927513722639E-2</c:v>
                </c:pt>
                <c:pt idx="5">
                  <c:v>2.2426740256407514E-2</c:v>
                </c:pt>
                <c:pt idx="6">
                  <c:v>2.6035552999092389E-2</c:v>
                </c:pt>
                <c:pt idx="7">
                  <c:v>2.9644365741777264E-2</c:v>
                </c:pt>
                <c:pt idx="8">
                  <c:v>3.3253178484462138E-2</c:v>
                </c:pt>
                <c:pt idx="9">
                  <c:v>3.6861991227147013E-2</c:v>
                </c:pt>
                <c:pt idx="10">
                  <c:v>4.0470803969831888E-2</c:v>
                </c:pt>
                <c:pt idx="11">
                  <c:v>4.4079616712516763E-2</c:v>
                </c:pt>
                <c:pt idx="12">
                  <c:v>4.7688429455201638E-2</c:v>
                </c:pt>
                <c:pt idx="13">
                  <c:v>5.1297242197886513E-2</c:v>
                </c:pt>
                <c:pt idx="14">
                  <c:v>5.4906054940571387E-2</c:v>
                </c:pt>
                <c:pt idx="15">
                  <c:v>5.8514867683256262E-2</c:v>
                </c:pt>
                <c:pt idx="16">
                  <c:v>6.2123680425941137E-2</c:v>
                </c:pt>
                <c:pt idx="17">
                  <c:v>6.5732493168626019E-2</c:v>
                </c:pt>
                <c:pt idx="18">
                  <c:v>6.9341305911310894E-2</c:v>
                </c:pt>
                <c:pt idx="19">
                  <c:v>7.2950118653995769E-2</c:v>
                </c:pt>
                <c:pt idx="20">
                  <c:v>7.6558931396680643E-2</c:v>
                </c:pt>
                <c:pt idx="21">
                  <c:v>8.0167744139365518E-2</c:v>
                </c:pt>
                <c:pt idx="22">
                  <c:v>8.3776556882050393E-2</c:v>
                </c:pt>
                <c:pt idx="23">
                  <c:v>8.7385369624735268E-2</c:v>
                </c:pt>
                <c:pt idx="24">
                  <c:v>9.0994182367420143E-2</c:v>
                </c:pt>
                <c:pt idx="25">
                  <c:v>9.4602995110105018E-2</c:v>
                </c:pt>
                <c:pt idx="26">
                  <c:v>9.8211807852789892E-2</c:v>
                </c:pt>
                <c:pt idx="27">
                  <c:v>0.10182062059547477</c:v>
                </c:pt>
                <c:pt idx="28">
                  <c:v>0.10542943333815964</c:v>
                </c:pt>
                <c:pt idx="29">
                  <c:v>0.10903824608084452</c:v>
                </c:pt>
                <c:pt idx="30">
                  <c:v>0.11264705882352939</c:v>
                </c:pt>
                <c:pt idx="31">
                  <c:v>0.11625587156621427</c:v>
                </c:pt>
                <c:pt idx="32">
                  <c:v>0.11986468430889914</c:v>
                </c:pt>
                <c:pt idx="33">
                  <c:v>0.12347349705158402</c:v>
                </c:pt>
                <c:pt idx="34">
                  <c:v>0.12708230979426891</c:v>
                </c:pt>
                <c:pt idx="35">
                  <c:v>0.13069112253695378</c:v>
                </c:pt>
                <c:pt idx="36">
                  <c:v>0.13429993527963865</c:v>
                </c:pt>
                <c:pt idx="37">
                  <c:v>0.13790874802232353</c:v>
                </c:pt>
                <c:pt idx="38">
                  <c:v>0.1415175607650084</c:v>
                </c:pt>
                <c:pt idx="39">
                  <c:v>0.14512637350769328</c:v>
                </c:pt>
                <c:pt idx="40">
                  <c:v>0.14873518625037815</c:v>
                </c:pt>
                <c:pt idx="41">
                  <c:v>0.15234399899306303</c:v>
                </c:pt>
                <c:pt idx="42">
                  <c:v>0.1559528117357479</c:v>
                </c:pt>
                <c:pt idx="43">
                  <c:v>0.15956162447843278</c:v>
                </c:pt>
                <c:pt idx="44">
                  <c:v>0.16317043722111765</c:v>
                </c:pt>
                <c:pt idx="45">
                  <c:v>0.16677924996380253</c:v>
                </c:pt>
                <c:pt idx="46">
                  <c:v>0.1703880627064874</c:v>
                </c:pt>
                <c:pt idx="47">
                  <c:v>0.17399687544917228</c:v>
                </c:pt>
                <c:pt idx="48">
                  <c:v>0.17760568819185715</c:v>
                </c:pt>
                <c:pt idx="49">
                  <c:v>0.18121450093454203</c:v>
                </c:pt>
                <c:pt idx="50">
                  <c:v>0.1848233136772269</c:v>
                </c:pt>
                <c:pt idx="51">
                  <c:v>0.18843212641991178</c:v>
                </c:pt>
                <c:pt idx="52">
                  <c:v>0.19204093916259665</c:v>
                </c:pt>
                <c:pt idx="53">
                  <c:v>0.19564975190528153</c:v>
                </c:pt>
                <c:pt idx="54">
                  <c:v>0.1992585646479664</c:v>
                </c:pt>
                <c:pt idx="55">
                  <c:v>0.20286737739065128</c:v>
                </c:pt>
                <c:pt idx="56">
                  <c:v>0.20647619013333615</c:v>
                </c:pt>
                <c:pt idx="57">
                  <c:v>0.21008500287602103</c:v>
                </c:pt>
                <c:pt idx="58">
                  <c:v>0.2136938156187059</c:v>
                </c:pt>
                <c:pt idx="59">
                  <c:v>0.21730262836139078</c:v>
                </c:pt>
                <c:pt idx="60">
                  <c:v>0.22091144110407565</c:v>
                </c:pt>
              </c:numCache>
            </c:numRef>
          </c:xVal>
          <c:yVal>
            <c:numRef>
              <c:f>'Échantillon #3 + LNS exp'!$H$4:$H$64</c:f>
              <c:numCache>
                <c:formatCode>General</c:formatCode>
                <c:ptCount val="61"/>
                <c:pt idx="0">
                  <c:v>0.12280627253163627</c:v>
                </c:pt>
                <c:pt idx="1">
                  <c:v>0.16494434164925112</c:v>
                </c:pt>
                <c:pt idx="2">
                  <c:v>0.21933672227866963</c:v>
                </c:pt>
                <c:pt idx="3">
                  <c:v>0.28876352300478869</c:v>
                </c:pt>
                <c:pt idx="4">
                  <c:v>0.37638332055933121</c:v>
                </c:pt>
                <c:pt idx="5">
                  <c:v>0.48570822991851526</c:v>
                </c:pt>
                <c:pt idx="6">
                  <c:v>0.62055118654291397</c:v>
                </c:pt>
                <c:pt idx="7">
                  <c:v>0.78494063730573249</c:v>
                </c:pt>
                <c:pt idx="8">
                  <c:v>0.98299899096008814</c:v>
                </c:pt>
                <c:pt idx="9">
                  <c:v>1.218782993647499</c:v>
                </c:pt>
                <c:pt idx="10">
                  <c:v>1.4960866734531624</c:v>
                </c:pt>
                <c:pt idx="11">
                  <c:v>1.8182105709885028</c:v>
                </c:pt>
                <c:pt idx="12">
                  <c:v>2.1877044870484723</c:v>
                </c:pt>
                <c:pt idx="13">
                  <c:v>2.6060946932623725</c:v>
                </c:pt>
                <c:pt idx="14">
                  <c:v>3.073610147943914</c:v>
                </c:pt>
                <c:pt idx="15">
                  <c:v>3.5889253585802132</c:v>
                </c:pt>
                <c:pt idx="16">
                  <c:v>4.1489397292570747</c:v>
                </c:pt>
                <c:pt idx="17">
                  <c:v>4.7486141361913061</c:v>
                </c:pt>
                <c:pt idx="18">
                  <c:v>5.3808847626364429</c:v>
                </c:pt>
                <c:pt idx="19">
                  <c:v>6.0366716858374092</c:v>
                </c:pt>
                <c:pt idx="20">
                  <c:v>6.7049952926934724</c:v>
                </c:pt>
                <c:pt idx="21">
                  <c:v>7.3732074471892135</c:v>
                </c:pt>
                <c:pt idx="22">
                  <c:v>8.02733678406263</c:v>
                </c:pt>
                <c:pt idx="23">
                  <c:v>8.6525390933543171</c:v>
                </c:pt>
                <c:pt idx="24">
                  <c:v>9.2336351773100809</c:v>
                </c:pt>
                <c:pt idx="25">
                  <c:v>9.7557105859244597</c:v>
                </c:pt>
                <c:pt idx="26">
                  <c:v>10.204745066083378</c:v>
                </c:pt>
                <c:pt idx="27">
                  <c:v>10.56823511371166</c:v>
                </c:pt>
                <c:pt idx="28">
                  <c:v>10.835771259345773</c:v>
                </c:pt>
                <c:pt idx="29">
                  <c:v>10.999532970549417</c:v>
                </c:pt>
                <c:pt idx="30">
                  <c:v>11.054668359007968</c:v>
                </c:pt>
                <c:pt idx="31">
                  <c:v>10.999532970549419</c:v>
                </c:pt>
                <c:pt idx="32">
                  <c:v>10.83577125934578</c:v>
                </c:pt>
                <c:pt idx="33">
                  <c:v>10.568235113711669</c:v>
                </c:pt>
                <c:pt idx="34">
                  <c:v>10.204745066083385</c:v>
                </c:pt>
                <c:pt idx="35">
                  <c:v>9.7557105859244686</c:v>
                </c:pt>
                <c:pt idx="36">
                  <c:v>9.2336351773100898</c:v>
                </c:pt>
                <c:pt idx="37">
                  <c:v>8.6525390933543296</c:v>
                </c:pt>
                <c:pt idx="38">
                  <c:v>8.0273367840626424</c:v>
                </c:pt>
                <c:pt idx="39">
                  <c:v>7.3732074471892268</c:v>
                </c:pt>
                <c:pt idx="40">
                  <c:v>6.7049952926934848</c:v>
                </c:pt>
                <c:pt idx="41">
                  <c:v>6.0366716858374234</c:v>
                </c:pt>
                <c:pt idx="42">
                  <c:v>5.3808847626364553</c:v>
                </c:pt>
                <c:pt idx="43">
                  <c:v>4.7486141361913186</c:v>
                </c:pt>
                <c:pt idx="44">
                  <c:v>4.148939729257088</c:v>
                </c:pt>
                <c:pt idx="45">
                  <c:v>3.5889253585802239</c:v>
                </c:pt>
                <c:pt idx="46">
                  <c:v>3.0736101479439246</c:v>
                </c:pt>
                <c:pt idx="47">
                  <c:v>2.6060946932623823</c:v>
                </c:pt>
                <c:pt idx="48">
                  <c:v>2.1877044870484812</c:v>
                </c:pt>
                <c:pt idx="49">
                  <c:v>1.8182105709885106</c:v>
                </c:pt>
                <c:pt idx="50">
                  <c:v>1.4960866734531697</c:v>
                </c:pt>
                <c:pt idx="51">
                  <c:v>1.2187829936475052</c:v>
                </c:pt>
                <c:pt idx="52">
                  <c:v>0.98299899096009291</c:v>
                </c:pt>
                <c:pt idx="53">
                  <c:v>0.78494063730573638</c:v>
                </c:pt>
                <c:pt idx="54">
                  <c:v>0.62055118654291774</c:v>
                </c:pt>
                <c:pt idx="55">
                  <c:v>0.48570822991851786</c:v>
                </c:pt>
                <c:pt idx="56">
                  <c:v>0.37638332055933338</c:v>
                </c:pt>
                <c:pt idx="57">
                  <c:v>0.28876352300479075</c:v>
                </c:pt>
                <c:pt idx="58">
                  <c:v>0.21933672227867096</c:v>
                </c:pt>
                <c:pt idx="59">
                  <c:v>0.16494434164925231</c:v>
                </c:pt>
                <c:pt idx="60">
                  <c:v>0.12280627253163724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7-4EEB-8141-44D5AC78D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15096"/>
        <c:axId val="389113456"/>
      </c:scatterChart>
      <c:valAx>
        <c:axId val="38911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Marge</a:t>
                </a:r>
                <a:r>
                  <a:rPr lang="fr-CA" baseline="0"/>
                  <a:t> en Cents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113456"/>
        <c:crosses val="autoZero"/>
        <c:crossBetween val="midCat"/>
      </c:valAx>
      <c:valAx>
        <c:axId val="3891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115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Marge/volume de 10 000 @ 16 000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'Échantillon #3 + LNS exp'!$E$3</c:f>
              <c:strCache>
                <c:ptCount val="1"/>
                <c:pt idx="0">
                  <c:v>Marge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'Échantillon #3 + LNS exp'!$E$4:$E$54</c:f>
              <c:numCache>
                <c:formatCode>0.000</c:formatCode>
                <c:ptCount val="5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8.5000000000000006E-2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0.14499999999999999</c:v>
                </c:pt>
                <c:pt idx="45">
                  <c:v>0.16</c:v>
                </c:pt>
                <c:pt idx="46">
                  <c:v>0.17499999999999999</c:v>
                </c:pt>
                <c:pt idx="47">
                  <c:v>0.19</c:v>
                </c:pt>
                <c:pt idx="48">
                  <c:v>0.19</c:v>
                </c:pt>
                <c:pt idx="49">
                  <c:v>0.22</c:v>
                </c:pt>
                <c:pt idx="50">
                  <c:v>0.22</c:v>
                </c:pt>
              </c:numCache>
            </c:numRef>
          </c:xVal>
          <c:yVal>
            <c:numRef>
              <c:f>'Échantillon #3 + LNS exp'!$D$4:$D$54</c:f>
              <c:numCache>
                <c:formatCode>#,##0</c:formatCode>
                <c:ptCount val="51"/>
                <c:pt idx="0">
                  <c:v>14000</c:v>
                </c:pt>
                <c:pt idx="1">
                  <c:v>14000</c:v>
                </c:pt>
                <c:pt idx="2">
                  <c:v>12000</c:v>
                </c:pt>
                <c:pt idx="3">
                  <c:v>13000</c:v>
                </c:pt>
                <c:pt idx="4">
                  <c:v>15000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15000</c:v>
                </c:pt>
                <c:pt idx="11">
                  <c:v>10000</c:v>
                </c:pt>
                <c:pt idx="12">
                  <c:v>10000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13000</c:v>
                </c:pt>
                <c:pt idx="18">
                  <c:v>13300</c:v>
                </c:pt>
                <c:pt idx="19">
                  <c:v>13300</c:v>
                </c:pt>
                <c:pt idx="20">
                  <c:v>13300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14000</c:v>
                </c:pt>
                <c:pt idx="28">
                  <c:v>10000</c:v>
                </c:pt>
                <c:pt idx="29">
                  <c:v>10000</c:v>
                </c:pt>
                <c:pt idx="30">
                  <c:v>15000</c:v>
                </c:pt>
                <c:pt idx="31">
                  <c:v>10000</c:v>
                </c:pt>
                <c:pt idx="32">
                  <c:v>12000</c:v>
                </c:pt>
                <c:pt idx="33">
                  <c:v>12000</c:v>
                </c:pt>
                <c:pt idx="34">
                  <c:v>12000</c:v>
                </c:pt>
                <c:pt idx="35">
                  <c:v>12000</c:v>
                </c:pt>
                <c:pt idx="36">
                  <c:v>12000</c:v>
                </c:pt>
                <c:pt idx="37">
                  <c:v>12000</c:v>
                </c:pt>
                <c:pt idx="38">
                  <c:v>12000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12000</c:v>
                </c:pt>
                <c:pt idx="45">
                  <c:v>12000</c:v>
                </c:pt>
                <c:pt idx="46">
                  <c:v>15000</c:v>
                </c:pt>
                <c:pt idx="47">
                  <c:v>12000</c:v>
                </c:pt>
                <c:pt idx="48">
                  <c:v>14000</c:v>
                </c:pt>
                <c:pt idx="49">
                  <c:v>14000</c:v>
                </c:pt>
                <c:pt idx="50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12-4041-B163-AA2CBDD5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04520"/>
        <c:axId val="166904848"/>
      </c:scatterChart>
      <c:valAx>
        <c:axId val="16690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904848"/>
        <c:crosses val="autoZero"/>
        <c:crossBetween val="midCat"/>
        <c:majorUnit val="5.000000000000001E-2"/>
      </c:valAx>
      <c:valAx>
        <c:axId val="1669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904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34</xdr:row>
      <xdr:rowOff>185737</xdr:rowOff>
    </xdr:from>
    <xdr:to>
      <xdr:col>11</xdr:col>
      <xdr:colOff>400050</xdr:colOff>
      <xdr:row>49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3CF39E7-CE06-4116-BBA0-5D4F75DD4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3</xdr:row>
      <xdr:rowOff>4762</xdr:rowOff>
    </xdr:from>
    <xdr:to>
      <xdr:col>17</xdr:col>
      <xdr:colOff>19049</xdr:colOff>
      <xdr:row>17</xdr:row>
      <xdr:rowOff>80962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F0BC309-9F0C-436B-9039-C3672A53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6</xdr:row>
      <xdr:rowOff>28575</xdr:rowOff>
    </xdr:from>
    <xdr:to>
      <xdr:col>12</xdr:col>
      <xdr:colOff>400050</xdr:colOff>
      <xdr:row>15</xdr:row>
      <xdr:rowOff>28575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B1424C0E-DB92-4FAE-8B2E-95AA75673AD4}"/>
            </a:ext>
          </a:extLst>
        </xdr:cNvPr>
        <xdr:cNvCxnSpPr/>
      </xdr:nvCxnSpPr>
      <xdr:spPr>
        <a:xfrm>
          <a:off x="13677900" y="1171575"/>
          <a:ext cx="19050" cy="171450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295276</xdr:colOff>
      <xdr:row>5</xdr:row>
      <xdr:rowOff>171450</xdr:rowOff>
    </xdr:from>
    <xdr:to>
      <xdr:col>15</xdr:col>
      <xdr:colOff>161926</xdr:colOff>
      <xdr:row>7</xdr:row>
      <xdr:rowOff>47625</xdr:rowOff>
    </xdr:to>
    <xdr:sp macro="" textlink="">
      <xdr:nvSpPr>
        <xdr:cNvPr id="7" name="Légende : flèche courbée 6">
          <a:extLst>
            <a:ext uri="{FF2B5EF4-FFF2-40B4-BE49-F238E27FC236}">
              <a16:creationId xmlns:a16="http://schemas.microsoft.com/office/drawing/2014/main" id="{004F13EE-B14B-4815-836C-B8F5F343BA7F}"/>
            </a:ext>
          </a:extLst>
        </xdr:cNvPr>
        <xdr:cNvSpPr/>
      </xdr:nvSpPr>
      <xdr:spPr>
        <a:xfrm>
          <a:off x="14354176" y="1123950"/>
          <a:ext cx="1390650" cy="257175"/>
        </a:xfrm>
        <a:prstGeom prst="borderCallout2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>
              <a:solidFill>
                <a:sysClr val="windowText" lastClr="000000"/>
              </a:solidFill>
            </a:rPr>
            <a:t>Moyenne 0,112 cents</a:t>
          </a:r>
        </a:p>
      </xdr:txBody>
    </xdr:sp>
    <xdr:clientData/>
  </xdr:twoCellAnchor>
  <xdr:twoCellAnchor>
    <xdr:from>
      <xdr:col>10</xdr:col>
      <xdr:colOff>228600</xdr:colOff>
      <xdr:row>13</xdr:row>
      <xdr:rowOff>76200</xdr:rowOff>
    </xdr:from>
    <xdr:to>
      <xdr:col>10</xdr:col>
      <xdr:colOff>228600</xdr:colOff>
      <xdr:row>15</xdr:row>
      <xdr:rowOff>171450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B20489D5-7177-4A3A-A050-2F3589FF7907}"/>
            </a:ext>
          </a:extLst>
        </xdr:cNvPr>
        <xdr:cNvCxnSpPr/>
      </xdr:nvCxnSpPr>
      <xdr:spPr>
        <a:xfrm>
          <a:off x="12001500" y="2552700"/>
          <a:ext cx="0" cy="4762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1</cdr:x>
      <cdr:y>0.78472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B20489D5-7177-4A3A-A050-2F3589FF7907}"/>
            </a:ext>
          </a:extLst>
        </cdr:cNvPr>
        <cdr:cNvCxnSpPr/>
      </cdr:nvCxnSpPr>
      <cdr:spPr>
        <a:xfrm xmlns:a="http://schemas.openxmlformats.org/drawingml/2006/main">
          <a:off x="12052300" y="2603500"/>
          <a:ext cx="0" cy="5905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1</cdr:x>
      <cdr:y>0.78472</cdr:y>
    </cdr:from>
    <cdr:to>
      <cdr:x>1</cdr:x>
      <cdr:y>1</cdr:y>
    </cdr:to>
    <cdr:cxnSp macro="">
      <cdr:nvCxnSpPr>
        <cdr:cNvPr id="6" name="Connecteur droit 5">
          <a:extLst xmlns:a="http://schemas.openxmlformats.org/drawingml/2006/main">
            <a:ext uri="{FF2B5EF4-FFF2-40B4-BE49-F238E27FC236}">
              <a16:creationId xmlns:a16="http://schemas.microsoft.com/office/drawing/2014/main" id="{B20489D5-7177-4A3A-A050-2F3589FF7907}"/>
            </a:ext>
          </a:extLst>
        </cdr:cNvPr>
        <cdr:cNvCxnSpPr/>
      </cdr:nvCxnSpPr>
      <cdr:spPr>
        <a:xfrm xmlns:a="http://schemas.openxmlformats.org/drawingml/2006/main">
          <a:off x="12052300" y="2603500"/>
          <a:ext cx="0" cy="5905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0.35683</cdr:x>
      <cdr:y>0.43229</cdr:y>
    </cdr:from>
    <cdr:to>
      <cdr:x>0.35971</cdr:x>
      <cdr:y>0.90451</cdr:y>
    </cdr:to>
    <cdr:cxnSp macro="">
      <cdr:nvCxnSpPr>
        <cdr:cNvPr id="10" name="Connecteur droit 9">
          <a:extLst xmlns:a="http://schemas.openxmlformats.org/drawingml/2006/main">
            <a:ext uri="{FF2B5EF4-FFF2-40B4-BE49-F238E27FC236}">
              <a16:creationId xmlns:a16="http://schemas.microsoft.com/office/drawing/2014/main" id="{9C12A1F7-7CA7-4781-BD4A-2940B03351EA}"/>
            </a:ext>
          </a:extLst>
        </cdr:cNvPr>
        <cdr:cNvCxnSpPr/>
      </cdr:nvCxnSpPr>
      <cdr:spPr>
        <a:xfrm xmlns:a="http://schemas.openxmlformats.org/drawingml/2006/main" flipH="1">
          <a:off x="2362201" y="1185863"/>
          <a:ext cx="19050" cy="12954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0.20863</cdr:x>
      <cdr:y>0.36285</cdr:y>
    </cdr:from>
    <cdr:to>
      <cdr:x>0.33957</cdr:x>
      <cdr:y>0.46701</cdr:y>
    </cdr:to>
    <cdr:sp macro="" textlink="">
      <cdr:nvSpPr>
        <cdr:cNvPr id="15" name="Légende : flèche courbée 14">
          <a:extLst xmlns:a="http://schemas.openxmlformats.org/drawingml/2006/main">
            <a:ext uri="{FF2B5EF4-FFF2-40B4-BE49-F238E27FC236}">
              <a16:creationId xmlns:a16="http://schemas.microsoft.com/office/drawing/2014/main" id="{3349244F-AC21-4804-9D61-A4C8E061ABF1}"/>
            </a:ext>
          </a:extLst>
        </cdr:cNvPr>
        <cdr:cNvSpPr/>
      </cdr:nvSpPr>
      <cdr:spPr>
        <a:xfrm xmlns:a="http://schemas.openxmlformats.org/drawingml/2006/main" rot="16200000">
          <a:off x="1671640" y="704848"/>
          <a:ext cx="285750" cy="866778"/>
        </a:xfrm>
        <a:prstGeom xmlns:a="http://schemas.openxmlformats.org/drawingml/2006/main" prst="borderCallout2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/>
        <a:lstStyle xmlns:a="http://schemas.openxmlformats.org/drawingml/2006/main"/>
        <a:p xmlns:a="http://schemas.openxmlformats.org/drawingml/2006/main">
          <a:r>
            <a:rPr lang="fr-FR"/>
            <a:t>-1 Ecart Type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3</xdr:row>
      <xdr:rowOff>4762</xdr:rowOff>
    </xdr:from>
    <xdr:to>
      <xdr:col>18</xdr:col>
      <xdr:colOff>19049</xdr:colOff>
      <xdr:row>17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770D9A-7C49-42C9-A52E-0E3C68C86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381000</xdr:colOff>
      <xdr:row>6</xdr:row>
      <xdr:rowOff>28575</xdr:rowOff>
    </xdr:from>
    <xdr:to>
      <xdr:col>13</xdr:col>
      <xdr:colOff>400050</xdr:colOff>
      <xdr:row>15</xdr:row>
      <xdr:rowOff>28575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09A42FA-FE0B-4950-8AD3-5A729F3B522C}"/>
            </a:ext>
          </a:extLst>
        </xdr:cNvPr>
        <xdr:cNvCxnSpPr/>
      </xdr:nvCxnSpPr>
      <xdr:spPr>
        <a:xfrm>
          <a:off x="10683240" y="1125855"/>
          <a:ext cx="19050" cy="164592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295276</xdr:colOff>
      <xdr:row>5</xdr:row>
      <xdr:rowOff>171450</xdr:rowOff>
    </xdr:from>
    <xdr:to>
      <xdr:col>16</xdr:col>
      <xdr:colOff>161926</xdr:colOff>
      <xdr:row>8</xdr:row>
      <xdr:rowOff>95250</xdr:rowOff>
    </xdr:to>
    <xdr:sp macro="" textlink="">
      <xdr:nvSpPr>
        <xdr:cNvPr id="4" name="Légende : flèche courbée 3">
          <a:extLst>
            <a:ext uri="{FF2B5EF4-FFF2-40B4-BE49-F238E27FC236}">
              <a16:creationId xmlns:a16="http://schemas.microsoft.com/office/drawing/2014/main" id="{F8E6F670-D6EF-4A85-8188-2B21AE388837}"/>
            </a:ext>
          </a:extLst>
        </xdr:cNvPr>
        <xdr:cNvSpPr/>
      </xdr:nvSpPr>
      <xdr:spPr>
        <a:xfrm>
          <a:off x="11389996" y="1085850"/>
          <a:ext cx="1451610" cy="472440"/>
        </a:xfrm>
        <a:prstGeom prst="borderCallout2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>
              <a:solidFill>
                <a:sysClr val="windowText" lastClr="000000"/>
              </a:solidFill>
            </a:rPr>
            <a:t>Moyenne 0,112 cents</a:t>
          </a:r>
        </a:p>
      </xdr:txBody>
    </xdr:sp>
    <xdr:clientData/>
  </xdr:twoCellAnchor>
  <xdr:twoCellAnchor>
    <xdr:from>
      <xdr:col>11</xdr:col>
      <xdr:colOff>228600</xdr:colOff>
      <xdr:row>13</xdr:row>
      <xdr:rowOff>76200</xdr:rowOff>
    </xdr:from>
    <xdr:to>
      <xdr:col>11</xdr:col>
      <xdr:colOff>228600</xdr:colOff>
      <xdr:row>15</xdr:row>
      <xdr:rowOff>171450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43189A6-0891-40C4-906A-260D022B0900}"/>
            </a:ext>
          </a:extLst>
        </xdr:cNvPr>
        <xdr:cNvCxnSpPr/>
      </xdr:nvCxnSpPr>
      <xdr:spPr>
        <a:xfrm>
          <a:off x="8945880" y="2453640"/>
          <a:ext cx="0" cy="46101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49</xdr:row>
      <xdr:rowOff>114300</xdr:rowOff>
    </xdr:from>
    <xdr:to>
      <xdr:col>5</xdr:col>
      <xdr:colOff>1457325</xdr:colOff>
      <xdr:row>52</xdr:row>
      <xdr:rowOff>19050</xdr:rowOff>
    </xdr:to>
    <xdr:sp macro="" textlink="">
      <xdr:nvSpPr>
        <xdr:cNvPr id="6" name="Légende : encadrée 5">
          <a:extLst>
            <a:ext uri="{FF2B5EF4-FFF2-40B4-BE49-F238E27FC236}">
              <a16:creationId xmlns:a16="http://schemas.microsoft.com/office/drawing/2014/main" id="{485120DD-E35A-412D-AC52-E7F407092C58}"/>
            </a:ext>
          </a:extLst>
        </xdr:cNvPr>
        <xdr:cNvSpPr/>
      </xdr:nvSpPr>
      <xdr:spPr>
        <a:xfrm>
          <a:off x="4219575" y="9075420"/>
          <a:ext cx="537210" cy="453390"/>
        </a:xfrm>
        <a:prstGeom prst="borderCallout1">
          <a:avLst>
            <a:gd name="adj1" fmla="val 3677"/>
            <a:gd name="adj2" fmla="val -1374"/>
            <a:gd name="adj3" fmla="val 155378"/>
            <a:gd name="adj4" fmla="val -12241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CA" sz="1100"/>
            <a:t>À ,22</a:t>
          </a:r>
          <a:r>
            <a:rPr lang="fr-CA" sz="1100" baseline="0"/>
            <a:t> c'est pas normal !</a:t>
          </a:r>
          <a:endParaRPr lang="fr-CA" sz="1100"/>
        </a:p>
      </xdr:txBody>
    </xdr:sp>
    <xdr:clientData/>
  </xdr:twoCellAnchor>
  <xdr:twoCellAnchor>
    <xdr:from>
      <xdr:col>2</xdr:col>
      <xdr:colOff>171450</xdr:colOff>
      <xdr:row>55</xdr:row>
      <xdr:rowOff>114301</xdr:rowOff>
    </xdr:from>
    <xdr:to>
      <xdr:col>2</xdr:col>
      <xdr:colOff>2038350</xdr:colOff>
      <xdr:row>59</xdr:row>
      <xdr:rowOff>57151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3040DE5-45BE-4404-9EFF-8BC6438A001B}"/>
            </a:ext>
          </a:extLst>
        </xdr:cNvPr>
        <xdr:cNvSpPr txBox="1"/>
      </xdr:nvSpPr>
      <xdr:spPr>
        <a:xfrm>
          <a:off x="1756410" y="10172701"/>
          <a:ext cx="617220" cy="67437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en jaune différents prix</a:t>
          </a:r>
          <a:r>
            <a:rPr lang="fr-CA" sz="1100" baseline="0"/>
            <a:t> pour le même volume !!!</a:t>
          </a:r>
        </a:p>
        <a:p>
          <a:r>
            <a:rPr lang="fr-CA" sz="1100" baseline="0"/>
            <a:t>PAS NORMAL !!</a:t>
          </a:r>
          <a:endParaRPr lang="fr-CA" sz="1100"/>
        </a:p>
      </xdr:txBody>
    </xdr:sp>
    <xdr:clientData/>
  </xdr:twoCellAnchor>
  <xdr:twoCellAnchor>
    <xdr:from>
      <xdr:col>2</xdr:col>
      <xdr:colOff>1971675</xdr:colOff>
      <xdr:row>53</xdr:row>
      <xdr:rowOff>171450</xdr:rowOff>
    </xdr:from>
    <xdr:to>
      <xdr:col>2</xdr:col>
      <xdr:colOff>2419350</xdr:colOff>
      <xdr:row>56</xdr:row>
      <xdr:rowOff>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D441D57C-005B-47C0-8F7F-A1F7158DB09D}"/>
            </a:ext>
          </a:extLst>
        </xdr:cNvPr>
        <xdr:cNvCxnSpPr/>
      </xdr:nvCxnSpPr>
      <xdr:spPr>
        <a:xfrm flipV="1">
          <a:off x="2375535" y="9864090"/>
          <a:ext cx="0" cy="377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1924050</xdr:colOff>
      <xdr:row>49</xdr:row>
      <xdr:rowOff>142875</xdr:rowOff>
    </xdr:from>
    <xdr:to>
      <xdr:col>3</xdr:col>
      <xdr:colOff>38100</xdr:colOff>
      <xdr:row>56</xdr:row>
      <xdr:rowOff>28575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D50BE22-788F-4AEB-9085-56E79028C719}"/>
            </a:ext>
          </a:extLst>
        </xdr:cNvPr>
        <xdr:cNvCxnSpPr/>
      </xdr:nvCxnSpPr>
      <xdr:spPr>
        <a:xfrm flipV="1">
          <a:off x="2373630" y="9103995"/>
          <a:ext cx="41910" cy="1165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1924050</xdr:colOff>
      <xdr:row>46</xdr:row>
      <xdr:rowOff>161925</xdr:rowOff>
    </xdr:from>
    <xdr:to>
      <xdr:col>3</xdr:col>
      <xdr:colOff>19050</xdr:colOff>
      <xdr:row>56</xdr:row>
      <xdr:rowOff>9525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51BB5F5C-C3C1-4D87-AE51-90586A343ACD}"/>
            </a:ext>
          </a:extLst>
        </xdr:cNvPr>
        <xdr:cNvCxnSpPr/>
      </xdr:nvCxnSpPr>
      <xdr:spPr>
        <a:xfrm flipV="1">
          <a:off x="2373630" y="8574405"/>
          <a:ext cx="22860" cy="167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1905000</xdr:colOff>
      <xdr:row>24</xdr:row>
      <xdr:rowOff>161925</xdr:rowOff>
    </xdr:from>
    <xdr:to>
      <xdr:col>3</xdr:col>
      <xdr:colOff>38100</xdr:colOff>
      <xdr:row>56</xdr:row>
      <xdr:rowOff>28575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E050609C-8959-44C1-B07C-C403CF69E6F2}"/>
            </a:ext>
          </a:extLst>
        </xdr:cNvPr>
        <xdr:cNvCxnSpPr/>
      </xdr:nvCxnSpPr>
      <xdr:spPr>
        <a:xfrm flipV="1">
          <a:off x="2377440" y="4551045"/>
          <a:ext cx="38100" cy="5718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1885950</xdr:colOff>
      <xdr:row>13</xdr:row>
      <xdr:rowOff>123825</xdr:rowOff>
    </xdr:from>
    <xdr:to>
      <xdr:col>3</xdr:col>
      <xdr:colOff>19050</xdr:colOff>
      <xdr:row>56</xdr:row>
      <xdr:rowOff>38100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DC4C3489-6334-43D1-8CC5-0218103798D4}"/>
            </a:ext>
          </a:extLst>
        </xdr:cNvPr>
        <xdr:cNvCxnSpPr/>
      </xdr:nvCxnSpPr>
      <xdr:spPr>
        <a:xfrm flipV="1">
          <a:off x="2373630" y="2501265"/>
          <a:ext cx="22860" cy="77781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1905000</xdr:colOff>
      <xdr:row>7</xdr:row>
      <xdr:rowOff>85725</xdr:rowOff>
    </xdr:from>
    <xdr:to>
      <xdr:col>3</xdr:col>
      <xdr:colOff>57150</xdr:colOff>
      <xdr:row>56</xdr:row>
      <xdr:rowOff>28575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DF499178-4E24-4899-9221-E4F819B6C313}"/>
            </a:ext>
          </a:extLst>
        </xdr:cNvPr>
        <xdr:cNvCxnSpPr/>
      </xdr:nvCxnSpPr>
      <xdr:spPr>
        <a:xfrm flipV="1">
          <a:off x="2377440" y="1365885"/>
          <a:ext cx="57150" cy="89039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10</xdr:row>
      <xdr:rowOff>142875</xdr:rowOff>
    </xdr:from>
    <xdr:to>
      <xdr:col>16</xdr:col>
      <xdr:colOff>723900</xdr:colOff>
      <xdr:row>15</xdr:row>
      <xdr:rowOff>104775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A68E802A-E9B3-4B55-9763-159D957AAAA7}"/>
            </a:ext>
          </a:extLst>
        </xdr:cNvPr>
        <xdr:cNvSpPr/>
      </xdr:nvSpPr>
      <xdr:spPr>
        <a:xfrm>
          <a:off x="12306300" y="1971675"/>
          <a:ext cx="1097280" cy="8763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15</xdr:col>
      <xdr:colOff>742950</xdr:colOff>
      <xdr:row>12</xdr:row>
      <xdr:rowOff>57150</xdr:rowOff>
    </xdr:from>
    <xdr:to>
      <xdr:col>16</xdr:col>
      <xdr:colOff>542925</xdr:colOff>
      <xdr:row>13</xdr:row>
      <xdr:rowOff>38100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69E88AF5-32C5-4237-9D64-833C299AAACF}"/>
            </a:ext>
          </a:extLst>
        </xdr:cNvPr>
        <xdr:cNvSpPr txBox="1"/>
      </xdr:nvSpPr>
      <xdr:spPr>
        <a:xfrm>
          <a:off x="12630150" y="2251710"/>
          <a:ext cx="592455" cy="163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/>
            <a:t>???</a:t>
          </a:r>
        </a:p>
      </xdr:txBody>
    </xdr:sp>
    <xdr:clientData/>
  </xdr:twoCellAnchor>
  <xdr:twoCellAnchor>
    <xdr:from>
      <xdr:col>9</xdr:col>
      <xdr:colOff>190500</xdr:colOff>
      <xdr:row>23</xdr:row>
      <xdr:rowOff>23812</xdr:rowOff>
    </xdr:from>
    <xdr:to>
      <xdr:col>14</xdr:col>
      <xdr:colOff>295275</xdr:colOff>
      <xdr:row>37</xdr:row>
      <xdr:rowOff>100012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A59B9524-9CBF-4197-889B-EBF346F66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209550</xdr:colOff>
      <xdr:row>22</xdr:row>
      <xdr:rowOff>19050</xdr:rowOff>
    </xdr:from>
    <xdr:to>
      <xdr:col>11</xdr:col>
      <xdr:colOff>209550</xdr:colOff>
      <xdr:row>36</xdr:row>
      <xdr:rowOff>28575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4CB8C2FE-3E55-4EF1-BE14-06455537F1E5}"/>
            </a:ext>
          </a:extLst>
        </xdr:cNvPr>
        <xdr:cNvCxnSpPr/>
      </xdr:nvCxnSpPr>
      <xdr:spPr>
        <a:xfrm flipV="1">
          <a:off x="8926830" y="4042410"/>
          <a:ext cx="0" cy="2569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219074</xdr:colOff>
      <xdr:row>29</xdr:row>
      <xdr:rowOff>123825</xdr:rowOff>
    </xdr:from>
    <xdr:to>
      <xdr:col>14</xdr:col>
      <xdr:colOff>247649</xdr:colOff>
      <xdr:row>30</xdr:row>
      <xdr:rowOff>171450</xdr:rowOff>
    </xdr:to>
    <xdr:sp macro="" textlink="">
      <xdr:nvSpPr>
        <xdr:cNvPr id="18" name="Légende : flèche courbée 17">
          <a:extLst>
            <a:ext uri="{FF2B5EF4-FFF2-40B4-BE49-F238E27FC236}">
              <a16:creationId xmlns:a16="http://schemas.microsoft.com/office/drawing/2014/main" id="{7EB62868-D082-4F78-B073-CEE68DDA0E12}"/>
            </a:ext>
          </a:extLst>
        </xdr:cNvPr>
        <xdr:cNvSpPr/>
      </xdr:nvSpPr>
      <xdr:spPr>
        <a:xfrm>
          <a:off x="9728834" y="5427345"/>
          <a:ext cx="1613535" cy="230505"/>
        </a:xfrm>
        <a:prstGeom prst="borderCallout2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100">
              <a:solidFill>
                <a:sysClr val="windowText" lastClr="000000"/>
              </a:solidFill>
            </a:rPr>
            <a:t>Moyenne 0,112 cents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1</cdr:x>
      <cdr:y>0.78472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B20489D5-7177-4A3A-A050-2F3589FF7907}"/>
            </a:ext>
          </a:extLst>
        </cdr:cNvPr>
        <cdr:cNvCxnSpPr/>
      </cdr:nvCxnSpPr>
      <cdr:spPr>
        <a:xfrm xmlns:a="http://schemas.openxmlformats.org/drawingml/2006/main">
          <a:off x="12052300" y="2603500"/>
          <a:ext cx="0" cy="5905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1</cdr:x>
      <cdr:y>0.78472</cdr:y>
    </cdr:from>
    <cdr:to>
      <cdr:x>1</cdr:x>
      <cdr:y>1</cdr:y>
    </cdr:to>
    <cdr:cxnSp macro="">
      <cdr:nvCxnSpPr>
        <cdr:cNvPr id="6" name="Connecteur droit 5">
          <a:extLst xmlns:a="http://schemas.openxmlformats.org/drawingml/2006/main">
            <a:ext uri="{FF2B5EF4-FFF2-40B4-BE49-F238E27FC236}">
              <a16:creationId xmlns:a16="http://schemas.microsoft.com/office/drawing/2014/main" id="{B20489D5-7177-4A3A-A050-2F3589FF7907}"/>
            </a:ext>
          </a:extLst>
        </cdr:cNvPr>
        <cdr:cNvCxnSpPr/>
      </cdr:nvCxnSpPr>
      <cdr:spPr>
        <a:xfrm xmlns:a="http://schemas.openxmlformats.org/drawingml/2006/main">
          <a:off x="12052300" y="2603500"/>
          <a:ext cx="0" cy="5905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0.35683</cdr:x>
      <cdr:y>0.43229</cdr:y>
    </cdr:from>
    <cdr:to>
      <cdr:x>0.35971</cdr:x>
      <cdr:y>0.90451</cdr:y>
    </cdr:to>
    <cdr:cxnSp macro="">
      <cdr:nvCxnSpPr>
        <cdr:cNvPr id="10" name="Connecteur droit 9">
          <a:extLst xmlns:a="http://schemas.openxmlformats.org/drawingml/2006/main">
            <a:ext uri="{FF2B5EF4-FFF2-40B4-BE49-F238E27FC236}">
              <a16:creationId xmlns:a16="http://schemas.microsoft.com/office/drawing/2014/main" id="{9C12A1F7-7CA7-4781-BD4A-2940B03351EA}"/>
            </a:ext>
          </a:extLst>
        </cdr:cNvPr>
        <cdr:cNvCxnSpPr/>
      </cdr:nvCxnSpPr>
      <cdr:spPr>
        <a:xfrm xmlns:a="http://schemas.openxmlformats.org/drawingml/2006/main" flipH="1">
          <a:off x="2362201" y="1185863"/>
          <a:ext cx="19050" cy="12954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0.20863</cdr:x>
      <cdr:y>0.36285</cdr:y>
    </cdr:from>
    <cdr:to>
      <cdr:x>0.33957</cdr:x>
      <cdr:y>0.46701</cdr:y>
    </cdr:to>
    <cdr:sp macro="" textlink="">
      <cdr:nvSpPr>
        <cdr:cNvPr id="15" name="Légende : flèche courbée 14">
          <a:extLst xmlns:a="http://schemas.openxmlformats.org/drawingml/2006/main">
            <a:ext uri="{FF2B5EF4-FFF2-40B4-BE49-F238E27FC236}">
              <a16:creationId xmlns:a16="http://schemas.microsoft.com/office/drawing/2014/main" id="{3349244F-AC21-4804-9D61-A4C8E061ABF1}"/>
            </a:ext>
          </a:extLst>
        </cdr:cNvPr>
        <cdr:cNvSpPr/>
      </cdr:nvSpPr>
      <cdr:spPr>
        <a:xfrm xmlns:a="http://schemas.openxmlformats.org/drawingml/2006/main" rot="16200000">
          <a:off x="1671640" y="704848"/>
          <a:ext cx="285750" cy="866778"/>
        </a:xfrm>
        <a:prstGeom xmlns:a="http://schemas.openxmlformats.org/drawingml/2006/main" prst="borderCallout2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/>
        <a:lstStyle xmlns:a="http://schemas.openxmlformats.org/drawingml/2006/main"/>
        <a:p xmlns:a="http://schemas.openxmlformats.org/drawingml/2006/main">
          <a:r>
            <a:rPr lang="fr-FR"/>
            <a:t>-1 Ecart Type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74"/>
  <sheetViews>
    <sheetView topLeftCell="A52" workbookViewId="0">
      <selection activeCell="E73" sqref="E73"/>
    </sheetView>
  </sheetViews>
  <sheetFormatPr baseColWidth="10" defaultRowHeight="14.4" x14ac:dyDescent="0.3"/>
  <cols>
    <col min="3" max="3" width="36.5546875" customWidth="1"/>
  </cols>
  <sheetData>
    <row r="3" spans="3:5" x14ac:dyDescent="0.3">
      <c r="D3" s="3" t="s">
        <v>46</v>
      </c>
      <c r="E3" s="3" t="s">
        <v>45</v>
      </c>
    </row>
    <row r="4" spans="3:5" x14ac:dyDescent="0.3">
      <c r="C4" s="1" t="s">
        <v>16</v>
      </c>
      <c r="D4" s="2">
        <v>10000</v>
      </c>
      <c r="E4" s="5">
        <v>0.08</v>
      </c>
    </row>
    <row r="5" spans="3:5" x14ac:dyDescent="0.3">
      <c r="C5" s="1" t="s">
        <v>13</v>
      </c>
      <c r="D5" s="2">
        <v>10000</v>
      </c>
      <c r="E5" s="5">
        <v>0.08</v>
      </c>
    </row>
    <row r="6" spans="3:5" x14ac:dyDescent="0.3">
      <c r="C6" s="1" t="s">
        <v>41</v>
      </c>
      <c r="D6" s="2">
        <v>10000</v>
      </c>
      <c r="E6" s="5">
        <v>0.08</v>
      </c>
    </row>
    <row r="7" spans="3:5" x14ac:dyDescent="0.3">
      <c r="C7" s="1" t="s">
        <v>16</v>
      </c>
      <c r="D7" s="2">
        <v>10000</v>
      </c>
      <c r="E7" s="5">
        <v>0.08</v>
      </c>
    </row>
    <row r="8" spans="3:5" x14ac:dyDescent="0.3">
      <c r="C8" s="1" t="s">
        <v>13</v>
      </c>
      <c r="D8" s="2">
        <v>10000</v>
      </c>
      <c r="E8" s="5">
        <v>0.08</v>
      </c>
    </row>
    <row r="9" spans="3:5" x14ac:dyDescent="0.3">
      <c r="C9" s="1" t="s">
        <v>15</v>
      </c>
      <c r="D9" s="2">
        <v>10000</v>
      </c>
      <c r="E9" s="5">
        <v>0.1</v>
      </c>
    </row>
    <row r="10" spans="3:5" x14ac:dyDescent="0.3">
      <c r="C10" s="1" t="s">
        <v>15</v>
      </c>
      <c r="D10" s="2">
        <v>10000</v>
      </c>
      <c r="E10" s="5">
        <v>0.1</v>
      </c>
    </row>
    <row r="11" spans="3:5" x14ac:dyDescent="0.3">
      <c r="C11" s="1" t="s">
        <v>40</v>
      </c>
      <c r="D11" s="2">
        <v>10000</v>
      </c>
      <c r="E11" s="5">
        <v>0.11</v>
      </c>
    </row>
    <row r="12" spans="3:5" x14ac:dyDescent="0.3">
      <c r="C12" s="1" t="s">
        <v>40</v>
      </c>
      <c r="D12" s="2">
        <v>10000</v>
      </c>
      <c r="E12" s="5">
        <v>0.11</v>
      </c>
    </row>
    <row r="13" spans="3:5" x14ac:dyDescent="0.3">
      <c r="C13" s="1" t="s">
        <v>14</v>
      </c>
      <c r="D13" s="2">
        <v>10000</v>
      </c>
      <c r="E13" s="5">
        <v>0.12</v>
      </c>
    </row>
    <row r="14" spans="3:5" x14ac:dyDescent="0.3">
      <c r="C14" s="1" t="s">
        <v>39</v>
      </c>
      <c r="D14" s="2">
        <v>12000</v>
      </c>
      <c r="E14" s="5">
        <v>7.0000000000000007E-2</v>
      </c>
    </row>
    <row r="15" spans="3:5" x14ac:dyDescent="0.3">
      <c r="C15" s="1" t="s">
        <v>44</v>
      </c>
      <c r="D15" s="2">
        <v>12000</v>
      </c>
      <c r="E15" s="5">
        <v>0.1</v>
      </c>
    </row>
    <row r="16" spans="3:5" x14ac:dyDescent="0.3">
      <c r="C16" s="1" t="s">
        <v>38</v>
      </c>
      <c r="D16" s="2">
        <v>12000</v>
      </c>
      <c r="E16" s="5">
        <v>0.1</v>
      </c>
    </row>
    <row r="17" spans="3:5" x14ac:dyDescent="0.3">
      <c r="C17" s="1" t="s">
        <v>12</v>
      </c>
      <c r="D17" s="2">
        <v>12000</v>
      </c>
      <c r="E17" s="5">
        <v>0.1</v>
      </c>
    </row>
    <row r="18" spans="3:5" x14ac:dyDescent="0.3">
      <c r="C18" s="1" t="s">
        <v>12</v>
      </c>
      <c r="D18" s="2">
        <v>12000</v>
      </c>
      <c r="E18" s="5">
        <v>0.1</v>
      </c>
    </row>
    <row r="19" spans="3:5" x14ac:dyDescent="0.3">
      <c r="C19" s="1" t="s">
        <v>35</v>
      </c>
      <c r="D19" s="2">
        <v>12000</v>
      </c>
      <c r="E19" s="5">
        <v>0.12</v>
      </c>
    </row>
    <row r="20" spans="3:5" x14ac:dyDescent="0.3">
      <c r="C20" s="1" t="s">
        <v>27</v>
      </c>
      <c r="D20" s="2">
        <v>12000</v>
      </c>
      <c r="E20" s="5">
        <v>0.12</v>
      </c>
    </row>
    <row r="21" spans="3:5" x14ac:dyDescent="0.3">
      <c r="C21" s="1" t="s">
        <v>27</v>
      </c>
      <c r="D21" s="2">
        <v>12000</v>
      </c>
      <c r="E21" s="5">
        <v>0.12</v>
      </c>
    </row>
    <row r="22" spans="3:5" x14ac:dyDescent="0.3">
      <c r="C22" s="1" t="s">
        <v>27</v>
      </c>
      <c r="D22" s="2">
        <v>12000</v>
      </c>
      <c r="E22" s="5">
        <v>0.12</v>
      </c>
    </row>
    <row r="23" spans="3:5" x14ac:dyDescent="0.3">
      <c r="C23" s="1" t="s">
        <v>27</v>
      </c>
      <c r="D23" s="2">
        <v>12000</v>
      </c>
      <c r="E23" s="5">
        <v>0.12</v>
      </c>
    </row>
    <row r="24" spans="3:5" x14ac:dyDescent="0.3">
      <c r="C24" s="1" t="s">
        <v>35</v>
      </c>
      <c r="D24" s="2">
        <v>12000</v>
      </c>
      <c r="E24" s="5">
        <v>0.12</v>
      </c>
    </row>
    <row r="25" spans="3:5" x14ac:dyDescent="0.3">
      <c r="C25" s="1" t="s">
        <v>27</v>
      </c>
      <c r="D25" s="2">
        <v>12000</v>
      </c>
      <c r="E25" s="5">
        <v>0.12</v>
      </c>
    </row>
    <row r="26" spans="3:5" x14ac:dyDescent="0.3">
      <c r="C26" s="1" t="s">
        <v>36</v>
      </c>
      <c r="D26" s="2">
        <v>12000</v>
      </c>
      <c r="E26" s="5">
        <v>0.14499999999999999</v>
      </c>
    </row>
    <row r="27" spans="3:5" x14ac:dyDescent="0.3">
      <c r="C27" s="1" t="s">
        <v>37</v>
      </c>
      <c r="D27" s="2">
        <v>12000</v>
      </c>
      <c r="E27" s="5">
        <v>0.16</v>
      </c>
    </row>
    <row r="28" spans="3:5" x14ac:dyDescent="0.3">
      <c r="C28" s="1" t="s">
        <v>25</v>
      </c>
      <c r="D28" s="2">
        <v>12000</v>
      </c>
      <c r="E28" s="5">
        <v>0.19</v>
      </c>
    </row>
    <row r="29" spans="3:5" x14ac:dyDescent="0.3">
      <c r="C29" s="1" t="s">
        <v>33</v>
      </c>
      <c r="D29" s="2">
        <v>13000</v>
      </c>
      <c r="E29" s="5">
        <v>7.0000000000000007E-2</v>
      </c>
    </row>
    <row r="30" spans="3:5" x14ac:dyDescent="0.3">
      <c r="C30" s="1" t="s">
        <v>34</v>
      </c>
      <c r="D30" s="2">
        <v>13000</v>
      </c>
      <c r="E30" s="5">
        <v>0.1</v>
      </c>
    </row>
    <row r="31" spans="3:5" x14ac:dyDescent="0.3">
      <c r="C31" s="1" t="s">
        <v>11</v>
      </c>
      <c r="D31" s="2">
        <v>13300</v>
      </c>
      <c r="E31" s="5">
        <v>0.1</v>
      </c>
    </row>
    <row r="32" spans="3:5" x14ac:dyDescent="0.3">
      <c r="C32" s="1" t="s">
        <v>10</v>
      </c>
      <c r="D32" s="2">
        <v>13300</v>
      </c>
      <c r="E32" s="5">
        <v>0.1</v>
      </c>
    </row>
    <row r="33" spans="3:5" x14ac:dyDescent="0.3">
      <c r="C33" s="1" t="s">
        <v>9</v>
      </c>
      <c r="D33" s="2">
        <v>13300</v>
      </c>
      <c r="E33" s="5">
        <v>0.1</v>
      </c>
    </row>
    <row r="34" spans="3:5" x14ac:dyDescent="0.3">
      <c r="C34" s="1" t="s">
        <v>43</v>
      </c>
      <c r="D34" s="2">
        <v>14000</v>
      </c>
      <c r="E34" s="5">
        <v>0.05</v>
      </c>
    </row>
    <row r="35" spans="3:5" x14ac:dyDescent="0.3">
      <c r="C35" s="1" t="s">
        <v>8</v>
      </c>
      <c r="D35" s="2">
        <v>14000</v>
      </c>
      <c r="E35" s="5">
        <v>0.06</v>
      </c>
    </row>
    <row r="36" spans="3:5" x14ac:dyDescent="0.3">
      <c r="C36" s="1" t="s">
        <v>8</v>
      </c>
      <c r="D36" s="2">
        <v>14000</v>
      </c>
      <c r="E36" s="5">
        <v>0.105</v>
      </c>
    </row>
    <row r="37" spans="3:5" x14ac:dyDescent="0.3">
      <c r="C37" s="1" t="s">
        <v>25</v>
      </c>
      <c r="D37" s="2">
        <v>14000</v>
      </c>
      <c r="E37" s="5">
        <v>0.19</v>
      </c>
    </row>
    <row r="38" spans="3:5" x14ac:dyDescent="0.3">
      <c r="C38" s="1" t="s">
        <v>25</v>
      </c>
      <c r="D38" s="2">
        <v>14000</v>
      </c>
      <c r="E38" s="5">
        <v>0.22</v>
      </c>
    </row>
    <row r="39" spans="3:5" x14ac:dyDescent="0.3">
      <c r="C39" s="1" t="s">
        <v>7</v>
      </c>
      <c r="D39" s="2">
        <v>15000</v>
      </c>
      <c r="E39" s="5">
        <v>7.0000000000000007E-2</v>
      </c>
    </row>
    <row r="40" spans="3:5" x14ac:dyDescent="0.3">
      <c r="C40" s="1" t="s">
        <v>6</v>
      </c>
      <c r="D40" s="2">
        <v>15000</v>
      </c>
      <c r="E40" s="5">
        <v>8.5000000000000006E-2</v>
      </c>
    </row>
    <row r="41" spans="3:5" x14ac:dyDescent="0.3">
      <c r="C41" s="1" t="s">
        <v>27</v>
      </c>
      <c r="D41" s="2">
        <v>15000</v>
      </c>
      <c r="E41" s="5">
        <v>0.1</v>
      </c>
    </row>
    <row r="42" spans="3:5" x14ac:dyDescent="0.3">
      <c r="C42" s="1" t="s">
        <v>27</v>
      </c>
      <c r="D42" s="2">
        <v>15000</v>
      </c>
      <c r="E42" s="5">
        <v>0.1</v>
      </c>
    </row>
    <row r="43" spans="3:5" x14ac:dyDescent="0.3">
      <c r="C43" s="1" t="s">
        <v>30</v>
      </c>
      <c r="D43" s="2">
        <v>15000</v>
      </c>
      <c r="E43" s="5">
        <v>0.1</v>
      </c>
    </row>
    <row r="44" spans="3:5" x14ac:dyDescent="0.3">
      <c r="C44" s="1" t="s">
        <v>29</v>
      </c>
      <c r="D44" s="2">
        <v>15000</v>
      </c>
      <c r="E44" s="5">
        <v>0.1</v>
      </c>
    </row>
    <row r="45" spans="3:5" x14ac:dyDescent="0.3">
      <c r="C45" s="1" t="s">
        <v>27</v>
      </c>
      <c r="D45" s="2">
        <v>15000</v>
      </c>
      <c r="E45" s="5">
        <v>0.1</v>
      </c>
    </row>
    <row r="46" spans="3:5" x14ac:dyDescent="0.3">
      <c r="C46" s="1" t="s">
        <v>27</v>
      </c>
      <c r="D46" s="2">
        <v>15000</v>
      </c>
      <c r="E46" s="5">
        <v>0.1</v>
      </c>
    </row>
    <row r="47" spans="3:5" x14ac:dyDescent="0.3">
      <c r="C47" s="1" t="s">
        <v>31</v>
      </c>
      <c r="D47" s="2">
        <v>15000</v>
      </c>
      <c r="E47" s="5">
        <v>0.11</v>
      </c>
    </row>
    <row r="48" spans="3:5" x14ac:dyDescent="0.3">
      <c r="C48" s="1" t="s">
        <v>27</v>
      </c>
      <c r="D48" s="2">
        <v>15000</v>
      </c>
      <c r="E48" s="5">
        <v>0.12</v>
      </c>
    </row>
    <row r="49" spans="3:5" x14ac:dyDescent="0.3">
      <c r="C49" s="1" t="s">
        <v>18</v>
      </c>
      <c r="D49" s="2">
        <v>15000</v>
      </c>
      <c r="E49" s="5">
        <v>0.12</v>
      </c>
    </row>
    <row r="50" spans="3:5" x14ac:dyDescent="0.3">
      <c r="C50" s="1" t="s">
        <v>28</v>
      </c>
      <c r="D50" s="2">
        <v>15000</v>
      </c>
      <c r="E50" s="5">
        <v>0.13500000000000001</v>
      </c>
    </row>
    <row r="51" spans="3:5" x14ac:dyDescent="0.3">
      <c r="C51" s="1" t="s">
        <v>5</v>
      </c>
      <c r="D51" s="2">
        <v>15000</v>
      </c>
      <c r="E51" s="5">
        <v>0.13500000000000001</v>
      </c>
    </row>
    <row r="52" spans="3:5" x14ac:dyDescent="0.3">
      <c r="C52" s="1" t="s">
        <v>4</v>
      </c>
      <c r="D52" s="2">
        <v>15000</v>
      </c>
      <c r="E52" s="5">
        <v>0.13500000000000001</v>
      </c>
    </row>
    <row r="53" spans="3:5" x14ac:dyDescent="0.3">
      <c r="C53" s="1" t="s">
        <v>25</v>
      </c>
      <c r="D53" s="2">
        <v>15000</v>
      </c>
      <c r="E53" s="5">
        <v>0.17499999999999999</v>
      </c>
    </row>
    <row r="54" spans="3:5" x14ac:dyDescent="0.3">
      <c r="C54" s="1" t="s">
        <v>32</v>
      </c>
      <c r="D54" s="2">
        <v>15000</v>
      </c>
      <c r="E54" s="5">
        <v>0.22</v>
      </c>
    </row>
    <row r="55" spans="3:5" x14ac:dyDescent="0.3">
      <c r="C55" s="1" t="s">
        <v>24</v>
      </c>
      <c r="D55" s="2">
        <v>16000</v>
      </c>
      <c r="E55" s="5">
        <v>0.1</v>
      </c>
    </row>
    <row r="56" spans="3:5" x14ac:dyDescent="0.3">
      <c r="C56" s="1" t="s">
        <v>26</v>
      </c>
      <c r="D56" s="2">
        <v>16000</v>
      </c>
      <c r="E56" s="5">
        <v>0.12</v>
      </c>
    </row>
    <row r="57" spans="3:5" x14ac:dyDescent="0.3">
      <c r="C57" s="1" t="s">
        <v>23</v>
      </c>
      <c r="D57" s="2">
        <v>16000</v>
      </c>
      <c r="E57" s="5">
        <v>0.12</v>
      </c>
    </row>
    <row r="58" spans="3:5" x14ac:dyDescent="0.3">
      <c r="C58" s="1" t="s">
        <v>25</v>
      </c>
      <c r="D58" s="2">
        <v>16000</v>
      </c>
      <c r="E58" s="5">
        <v>0.2</v>
      </c>
    </row>
    <row r="59" spans="3:5" x14ac:dyDescent="0.3">
      <c r="C59" s="1" t="s">
        <v>22</v>
      </c>
      <c r="D59" s="2">
        <v>19000</v>
      </c>
      <c r="E59" s="5">
        <v>0.08</v>
      </c>
    </row>
    <row r="60" spans="3:5" x14ac:dyDescent="0.3">
      <c r="C60" s="1" t="s">
        <v>19</v>
      </c>
      <c r="D60" s="2">
        <v>20000</v>
      </c>
      <c r="E60" s="5">
        <v>6.5000000000000002E-2</v>
      </c>
    </row>
    <row r="61" spans="3:5" x14ac:dyDescent="0.3">
      <c r="C61" s="1" t="s">
        <v>42</v>
      </c>
      <c r="D61" s="2">
        <v>20000</v>
      </c>
      <c r="E61" s="5">
        <v>7.0000000000000007E-2</v>
      </c>
    </row>
    <row r="62" spans="3:5" x14ac:dyDescent="0.3">
      <c r="C62" s="1" t="s">
        <v>3</v>
      </c>
      <c r="D62" s="2">
        <v>20000</v>
      </c>
      <c r="E62" s="5">
        <v>7.0000000000000007E-2</v>
      </c>
    </row>
    <row r="63" spans="3:5" x14ac:dyDescent="0.3">
      <c r="C63" s="1" t="s">
        <v>1</v>
      </c>
      <c r="D63" s="2">
        <v>20000</v>
      </c>
      <c r="E63" s="5">
        <v>8.5000000000000006E-2</v>
      </c>
    </row>
    <row r="64" spans="3:5" x14ac:dyDescent="0.3">
      <c r="C64" s="1" t="s">
        <v>21</v>
      </c>
      <c r="D64" s="2">
        <v>20000</v>
      </c>
      <c r="E64" s="5">
        <v>9.5000000000000001E-2</v>
      </c>
    </row>
    <row r="65" spans="3:5" x14ac:dyDescent="0.3">
      <c r="C65" s="1" t="s">
        <v>20</v>
      </c>
      <c r="D65" s="2">
        <v>20000</v>
      </c>
      <c r="E65" s="5">
        <v>0.11</v>
      </c>
    </row>
    <row r="66" spans="3:5" x14ac:dyDescent="0.3">
      <c r="C66" s="1" t="s">
        <v>2</v>
      </c>
      <c r="D66" s="2">
        <v>20000</v>
      </c>
      <c r="E66" s="5">
        <v>0.11</v>
      </c>
    </row>
    <row r="67" spans="3:5" x14ac:dyDescent="0.3">
      <c r="C67" s="1" t="s">
        <v>18</v>
      </c>
      <c r="D67" s="2">
        <v>20000</v>
      </c>
      <c r="E67" s="5">
        <v>0.12</v>
      </c>
    </row>
    <row r="68" spans="3:5" x14ac:dyDescent="0.3">
      <c r="C68" s="1" t="s">
        <v>17</v>
      </c>
      <c r="D68" s="2">
        <v>20000</v>
      </c>
      <c r="E68" s="5">
        <v>0.15</v>
      </c>
    </row>
    <row r="69" spans="3:5" x14ac:dyDescent="0.3">
      <c r="C69" s="1" t="s">
        <v>18</v>
      </c>
      <c r="D69" s="2">
        <v>20000</v>
      </c>
      <c r="E69" s="5">
        <v>0.15</v>
      </c>
    </row>
    <row r="70" spans="3:5" x14ac:dyDescent="0.3">
      <c r="C70" s="1" t="s">
        <v>17</v>
      </c>
      <c r="D70" s="2">
        <v>20000</v>
      </c>
      <c r="E70" s="5">
        <v>0.15</v>
      </c>
    </row>
    <row r="71" spans="3:5" x14ac:dyDescent="0.3">
      <c r="C71" s="1" t="s">
        <v>0</v>
      </c>
      <c r="D71" s="2">
        <v>20000</v>
      </c>
      <c r="E71" s="5">
        <v>0.18</v>
      </c>
    </row>
    <row r="72" spans="3:5" x14ac:dyDescent="0.3">
      <c r="C72" s="1" t="s">
        <v>0</v>
      </c>
      <c r="D72" s="2">
        <v>20000</v>
      </c>
      <c r="E72" s="5">
        <v>0.18</v>
      </c>
    </row>
    <row r="73" spans="3:5" x14ac:dyDescent="0.3">
      <c r="D73" t="s">
        <v>47</v>
      </c>
      <c r="E73" s="4">
        <f>AVERAGE(E4:E72)</f>
        <v>0.11449275362318841</v>
      </c>
    </row>
    <row r="74" spans="3:5" x14ac:dyDescent="0.3">
      <c r="D74" t="s">
        <v>48</v>
      </c>
      <c r="E74">
        <f>_xlfn.STDEV.S(E4:E72)</f>
        <v>3.7211092269567786E-2</v>
      </c>
    </row>
  </sheetData>
  <sortState xmlns:xlrd2="http://schemas.microsoft.com/office/spreadsheetml/2017/richdata2" ref="C4:E72">
    <sortCondition ref="D4:D72"/>
    <sortCondition ref="E4:E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74"/>
  <sheetViews>
    <sheetView topLeftCell="B28" workbookViewId="0">
      <selection activeCell="G48" sqref="G48"/>
    </sheetView>
  </sheetViews>
  <sheetFormatPr baseColWidth="10" defaultRowHeight="14.4" x14ac:dyDescent="0.3"/>
  <cols>
    <col min="3" max="3" width="36.5546875" customWidth="1"/>
    <col min="6" max="6" width="27.6640625" bestFit="1" customWidth="1"/>
    <col min="7" max="7" width="22.44140625" customWidth="1"/>
    <col min="8" max="8" width="32.44140625" customWidth="1"/>
    <col min="10" max="10" width="4.5546875" customWidth="1"/>
    <col min="11" max="11" width="19.109375" customWidth="1"/>
  </cols>
  <sheetData>
    <row r="3" spans="3:8" x14ac:dyDescent="0.3">
      <c r="D3" s="3" t="s">
        <v>46</v>
      </c>
      <c r="E3" s="3" t="s">
        <v>45</v>
      </c>
      <c r="F3" s="3" t="s">
        <v>50</v>
      </c>
      <c r="H3" t="s">
        <v>49</v>
      </c>
    </row>
    <row r="4" spans="3:8" x14ac:dyDescent="0.3">
      <c r="C4" s="1" t="s">
        <v>43</v>
      </c>
      <c r="D4" s="2">
        <v>14000</v>
      </c>
      <c r="E4" s="5">
        <v>0.05</v>
      </c>
      <c r="F4" s="3">
        <f t="shared" ref="F4:F35" si="0">_xlfn.NORM.DIST(E4:E72,MOYENNE02,Ecart_type02,FALSE)</f>
        <v>2.387601082419549</v>
      </c>
      <c r="H4" s="6">
        <f t="shared" ref="H4:H35" si="1">-(MOYENNE02-(E4))</f>
        <v>-6.4492753623188417E-2</v>
      </c>
    </row>
    <row r="5" spans="3:8" x14ac:dyDescent="0.3">
      <c r="C5" s="1" t="s">
        <v>8</v>
      </c>
      <c r="D5" s="2">
        <v>14000</v>
      </c>
      <c r="E5" s="5">
        <v>0.06</v>
      </c>
      <c r="F5" s="3">
        <f t="shared" si="0"/>
        <v>3.6690893641840479</v>
      </c>
      <c r="H5" s="6">
        <f t="shared" si="1"/>
        <v>-5.4492753623188422E-2</v>
      </c>
    </row>
    <row r="6" spans="3:8" x14ac:dyDescent="0.3">
      <c r="C6" s="1" t="s">
        <v>19</v>
      </c>
      <c r="D6" s="2">
        <v>20000</v>
      </c>
      <c r="E6" s="5">
        <v>6.5000000000000002E-2</v>
      </c>
      <c r="F6" s="3">
        <f t="shared" si="0"/>
        <v>4.4268502728215227</v>
      </c>
      <c r="H6" s="6">
        <f t="shared" si="1"/>
        <v>-4.9492753623188418E-2</v>
      </c>
    </row>
    <row r="7" spans="3:8" x14ac:dyDescent="0.3">
      <c r="C7" s="1" t="s">
        <v>39</v>
      </c>
      <c r="D7" s="2">
        <v>12000</v>
      </c>
      <c r="E7" s="5">
        <v>7.0000000000000007E-2</v>
      </c>
      <c r="F7" s="3">
        <f t="shared" si="0"/>
        <v>5.2455403500172704</v>
      </c>
      <c r="H7" s="6">
        <f t="shared" si="1"/>
        <v>-4.4492753623188414E-2</v>
      </c>
    </row>
    <row r="8" spans="3:8" x14ac:dyDescent="0.3">
      <c r="C8" s="1" t="s">
        <v>33</v>
      </c>
      <c r="D8" s="2">
        <v>13000</v>
      </c>
      <c r="E8" s="5">
        <v>7.0000000000000007E-2</v>
      </c>
      <c r="F8" s="3">
        <f t="shared" si="0"/>
        <v>5.2455403500172704</v>
      </c>
      <c r="H8" s="6">
        <f t="shared" si="1"/>
        <v>-4.4492753623188414E-2</v>
      </c>
    </row>
    <row r="9" spans="3:8" x14ac:dyDescent="0.3">
      <c r="C9" s="1" t="s">
        <v>7</v>
      </c>
      <c r="D9" s="2">
        <v>15000</v>
      </c>
      <c r="E9" s="5">
        <v>7.0000000000000007E-2</v>
      </c>
      <c r="F9" s="3">
        <f t="shared" si="0"/>
        <v>5.2455403500172704</v>
      </c>
      <c r="H9" s="6">
        <f t="shared" si="1"/>
        <v>-4.4492753623188414E-2</v>
      </c>
    </row>
    <row r="10" spans="3:8" x14ac:dyDescent="0.3">
      <c r="C10" s="1" t="s">
        <v>42</v>
      </c>
      <c r="D10" s="2">
        <v>20000</v>
      </c>
      <c r="E10" s="5">
        <v>7.0000000000000007E-2</v>
      </c>
      <c r="F10" s="3">
        <f t="shared" si="0"/>
        <v>5.2455403500172704</v>
      </c>
      <c r="H10" s="6">
        <f t="shared" si="1"/>
        <v>-4.4492753623188414E-2</v>
      </c>
    </row>
    <row r="11" spans="3:8" x14ac:dyDescent="0.3">
      <c r="C11" s="1" t="s">
        <v>3</v>
      </c>
      <c r="D11" s="2">
        <v>20000</v>
      </c>
      <c r="E11" s="5">
        <v>7.0000000000000007E-2</v>
      </c>
      <c r="F11" s="3">
        <f t="shared" si="0"/>
        <v>5.2455403500172704</v>
      </c>
      <c r="H11" s="6">
        <f t="shared" si="1"/>
        <v>-4.4492753623188414E-2</v>
      </c>
    </row>
    <row r="12" spans="3:8" x14ac:dyDescent="0.3">
      <c r="C12" s="1" t="s">
        <v>16</v>
      </c>
      <c r="D12" s="2">
        <v>10000</v>
      </c>
      <c r="E12" s="5">
        <v>0.08</v>
      </c>
      <c r="F12" s="3">
        <f t="shared" si="0"/>
        <v>6.9768212252940058</v>
      </c>
      <c r="H12" s="6">
        <f t="shared" si="1"/>
        <v>-3.4492753623188419E-2</v>
      </c>
    </row>
    <row r="13" spans="3:8" x14ac:dyDescent="0.3">
      <c r="C13" s="1" t="s">
        <v>13</v>
      </c>
      <c r="D13" s="2">
        <v>10000</v>
      </c>
      <c r="E13" s="5">
        <v>0.08</v>
      </c>
      <c r="F13" s="3">
        <f t="shared" si="0"/>
        <v>6.9768212252940058</v>
      </c>
      <c r="H13" s="6">
        <f t="shared" si="1"/>
        <v>-3.4492753623188419E-2</v>
      </c>
    </row>
    <row r="14" spans="3:8" x14ac:dyDescent="0.3">
      <c r="C14" s="1" t="s">
        <v>41</v>
      </c>
      <c r="D14" s="2">
        <v>10000</v>
      </c>
      <c r="E14" s="5">
        <v>0.08</v>
      </c>
      <c r="F14" s="3">
        <f t="shared" si="0"/>
        <v>6.9768212252940058</v>
      </c>
      <c r="H14" s="6">
        <f t="shared" si="1"/>
        <v>-3.4492753623188419E-2</v>
      </c>
    </row>
    <row r="15" spans="3:8" x14ac:dyDescent="0.3">
      <c r="C15" s="1" t="s">
        <v>16</v>
      </c>
      <c r="D15" s="2">
        <v>10000</v>
      </c>
      <c r="E15" s="5">
        <v>0.08</v>
      </c>
      <c r="F15" s="3">
        <f t="shared" si="0"/>
        <v>6.9768212252940058</v>
      </c>
      <c r="H15" s="6">
        <f t="shared" si="1"/>
        <v>-3.4492753623188419E-2</v>
      </c>
    </row>
    <row r="16" spans="3:8" x14ac:dyDescent="0.3">
      <c r="C16" s="1" t="s">
        <v>13</v>
      </c>
      <c r="D16" s="2">
        <v>10000</v>
      </c>
      <c r="E16" s="5">
        <v>0.08</v>
      </c>
      <c r="F16" s="3">
        <f t="shared" si="0"/>
        <v>6.9768212252940058</v>
      </c>
      <c r="H16" s="6">
        <f t="shared" si="1"/>
        <v>-3.4492753623188419E-2</v>
      </c>
    </row>
    <row r="17" spans="3:8" x14ac:dyDescent="0.3">
      <c r="C17" s="1" t="s">
        <v>22</v>
      </c>
      <c r="D17" s="2">
        <v>19000</v>
      </c>
      <c r="E17" s="5">
        <v>0.08</v>
      </c>
      <c r="F17" s="3">
        <f t="shared" si="0"/>
        <v>6.9768212252940058</v>
      </c>
      <c r="H17" s="6">
        <f t="shared" si="1"/>
        <v>-3.4492753623188419E-2</v>
      </c>
    </row>
    <row r="18" spans="3:8" x14ac:dyDescent="0.3">
      <c r="C18" s="1" t="s">
        <v>6</v>
      </c>
      <c r="D18" s="2">
        <v>15000</v>
      </c>
      <c r="E18" s="5">
        <v>8.5000000000000006E-2</v>
      </c>
      <c r="F18" s="3">
        <f t="shared" si="0"/>
        <v>7.8312224152365104</v>
      </c>
      <c r="H18" s="6">
        <f t="shared" si="1"/>
        <v>-2.9492753623188414E-2</v>
      </c>
    </row>
    <row r="19" spans="3:8" x14ac:dyDescent="0.3">
      <c r="C19" s="1" t="s">
        <v>1</v>
      </c>
      <c r="D19" s="2">
        <v>20000</v>
      </c>
      <c r="E19" s="5">
        <v>8.5000000000000006E-2</v>
      </c>
      <c r="F19" s="3">
        <f t="shared" si="0"/>
        <v>7.8312224152365104</v>
      </c>
      <c r="H19" s="6">
        <f t="shared" si="1"/>
        <v>-2.9492753623188414E-2</v>
      </c>
    </row>
    <row r="20" spans="3:8" x14ac:dyDescent="0.3">
      <c r="C20" s="1" t="s">
        <v>21</v>
      </c>
      <c r="D20" s="2">
        <v>20000</v>
      </c>
      <c r="E20" s="5">
        <v>9.5000000000000001E-2</v>
      </c>
      <c r="F20" s="3">
        <f t="shared" si="0"/>
        <v>9.3465224048191295</v>
      </c>
      <c r="H20" s="6">
        <f t="shared" si="1"/>
        <v>-1.9492753623188419E-2</v>
      </c>
    </row>
    <row r="21" spans="3:8" x14ac:dyDescent="0.3">
      <c r="C21" s="1" t="s">
        <v>15</v>
      </c>
      <c r="D21" s="2">
        <v>10000</v>
      </c>
      <c r="E21" s="5">
        <v>0.1</v>
      </c>
      <c r="F21" s="3">
        <f t="shared" si="0"/>
        <v>9.9379905698128308</v>
      </c>
      <c r="H21" s="6">
        <f t="shared" si="1"/>
        <v>-1.4492753623188415E-2</v>
      </c>
    </row>
    <row r="22" spans="3:8" x14ac:dyDescent="0.3">
      <c r="C22" s="1" t="s">
        <v>15</v>
      </c>
      <c r="D22" s="2">
        <v>10000</v>
      </c>
      <c r="E22" s="5">
        <v>0.1</v>
      </c>
      <c r="F22" s="3">
        <f t="shared" si="0"/>
        <v>9.9379905698128308</v>
      </c>
      <c r="H22" s="6">
        <f t="shared" si="1"/>
        <v>-1.4492753623188415E-2</v>
      </c>
    </row>
    <row r="23" spans="3:8" x14ac:dyDescent="0.3">
      <c r="C23" s="1" t="s">
        <v>44</v>
      </c>
      <c r="D23" s="2">
        <v>12000</v>
      </c>
      <c r="E23" s="5">
        <v>0.1</v>
      </c>
      <c r="F23" s="3">
        <f t="shared" si="0"/>
        <v>9.9379905698128308</v>
      </c>
      <c r="H23" s="6">
        <f t="shared" si="1"/>
        <v>-1.4492753623188415E-2</v>
      </c>
    </row>
    <row r="24" spans="3:8" x14ac:dyDescent="0.3">
      <c r="C24" s="1" t="s">
        <v>38</v>
      </c>
      <c r="D24" s="2">
        <v>12000</v>
      </c>
      <c r="E24" s="5">
        <v>0.1</v>
      </c>
      <c r="F24" s="3">
        <f t="shared" si="0"/>
        <v>9.9379905698128308</v>
      </c>
      <c r="H24" s="6">
        <f t="shared" si="1"/>
        <v>-1.4492753623188415E-2</v>
      </c>
    </row>
    <row r="25" spans="3:8" x14ac:dyDescent="0.3">
      <c r="C25" s="1" t="s">
        <v>12</v>
      </c>
      <c r="D25" s="2">
        <v>12000</v>
      </c>
      <c r="E25" s="5">
        <v>0.1</v>
      </c>
      <c r="F25" s="3">
        <f t="shared" si="0"/>
        <v>9.9379905698128308</v>
      </c>
      <c r="H25" s="6">
        <f t="shared" si="1"/>
        <v>-1.4492753623188415E-2</v>
      </c>
    </row>
    <row r="26" spans="3:8" x14ac:dyDescent="0.3">
      <c r="C26" s="1" t="s">
        <v>12</v>
      </c>
      <c r="D26" s="2">
        <v>12000</v>
      </c>
      <c r="E26" s="5">
        <v>0.1</v>
      </c>
      <c r="F26" s="3">
        <f t="shared" si="0"/>
        <v>9.9379905698128308</v>
      </c>
      <c r="H26" s="6">
        <f t="shared" si="1"/>
        <v>-1.4492753623188415E-2</v>
      </c>
    </row>
    <row r="27" spans="3:8" x14ac:dyDescent="0.3">
      <c r="C27" s="1" t="s">
        <v>34</v>
      </c>
      <c r="D27" s="2">
        <v>13000</v>
      </c>
      <c r="E27" s="5">
        <v>0.1</v>
      </c>
      <c r="F27" s="3">
        <f t="shared" si="0"/>
        <v>9.9379905698128308</v>
      </c>
      <c r="H27" s="6">
        <f t="shared" si="1"/>
        <v>-1.4492753623188415E-2</v>
      </c>
    </row>
    <row r="28" spans="3:8" x14ac:dyDescent="0.3">
      <c r="C28" s="1" t="s">
        <v>11</v>
      </c>
      <c r="D28" s="2">
        <v>13300</v>
      </c>
      <c r="E28" s="5">
        <v>0.1</v>
      </c>
      <c r="F28" s="3">
        <f t="shared" si="0"/>
        <v>9.9379905698128308</v>
      </c>
      <c r="H28" s="6">
        <f t="shared" si="1"/>
        <v>-1.4492753623188415E-2</v>
      </c>
    </row>
    <row r="29" spans="3:8" x14ac:dyDescent="0.3">
      <c r="C29" s="1" t="s">
        <v>10</v>
      </c>
      <c r="D29" s="2">
        <v>13300</v>
      </c>
      <c r="E29" s="5">
        <v>0.1</v>
      </c>
      <c r="F29" s="3">
        <f t="shared" si="0"/>
        <v>9.9379905698128308</v>
      </c>
      <c r="H29" s="6">
        <f t="shared" si="1"/>
        <v>-1.4492753623188415E-2</v>
      </c>
    </row>
    <row r="30" spans="3:8" x14ac:dyDescent="0.3">
      <c r="C30" s="1" t="s">
        <v>9</v>
      </c>
      <c r="D30" s="2">
        <v>13300</v>
      </c>
      <c r="E30" s="5">
        <v>0.1</v>
      </c>
      <c r="F30" s="3">
        <f t="shared" si="0"/>
        <v>9.9379905698128308</v>
      </c>
      <c r="H30" s="6">
        <f t="shared" si="1"/>
        <v>-1.4492753623188415E-2</v>
      </c>
    </row>
    <row r="31" spans="3:8" x14ac:dyDescent="0.3">
      <c r="C31" s="1" t="s">
        <v>27</v>
      </c>
      <c r="D31" s="2">
        <v>15000</v>
      </c>
      <c r="E31" s="5">
        <v>0.1</v>
      </c>
      <c r="F31" s="3">
        <f t="shared" si="0"/>
        <v>9.9379905698128308</v>
      </c>
      <c r="H31" s="6">
        <f t="shared" si="1"/>
        <v>-1.4492753623188415E-2</v>
      </c>
    </row>
    <row r="32" spans="3:8" x14ac:dyDescent="0.3">
      <c r="C32" s="1" t="s">
        <v>27</v>
      </c>
      <c r="D32" s="2">
        <v>15000</v>
      </c>
      <c r="E32" s="5">
        <v>0.1</v>
      </c>
      <c r="F32" s="3">
        <f t="shared" si="0"/>
        <v>9.9379905698128308</v>
      </c>
      <c r="H32" s="6">
        <f t="shared" si="1"/>
        <v>-1.4492753623188415E-2</v>
      </c>
    </row>
    <row r="33" spans="3:8" x14ac:dyDescent="0.3">
      <c r="C33" s="1" t="s">
        <v>30</v>
      </c>
      <c r="D33" s="2">
        <v>15000</v>
      </c>
      <c r="E33" s="5">
        <v>0.1</v>
      </c>
      <c r="F33" s="3">
        <f t="shared" si="0"/>
        <v>9.9379905698128308</v>
      </c>
      <c r="H33" s="6">
        <f t="shared" si="1"/>
        <v>-1.4492753623188415E-2</v>
      </c>
    </row>
    <row r="34" spans="3:8" x14ac:dyDescent="0.3">
      <c r="C34" s="1" t="s">
        <v>29</v>
      </c>
      <c r="D34" s="2">
        <v>15000</v>
      </c>
      <c r="E34" s="5">
        <v>0.1</v>
      </c>
      <c r="F34" s="3">
        <f t="shared" si="0"/>
        <v>9.9379905698128308</v>
      </c>
      <c r="H34" s="6">
        <f t="shared" si="1"/>
        <v>-1.4492753623188415E-2</v>
      </c>
    </row>
    <row r="35" spans="3:8" x14ac:dyDescent="0.3">
      <c r="C35" s="1" t="s">
        <v>27</v>
      </c>
      <c r="D35" s="2">
        <v>15000</v>
      </c>
      <c r="E35" s="5">
        <v>0.1</v>
      </c>
      <c r="F35" s="3">
        <f t="shared" si="0"/>
        <v>9.9379905698128308</v>
      </c>
      <c r="H35" s="6">
        <f t="shared" si="1"/>
        <v>-1.4492753623188415E-2</v>
      </c>
    </row>
    <row r="36" spans="3:8" x14ac:dyDescent="0.3">
      <c r="C36" s="1" t="s">
        <v>27</v>
      </c>
      <c r="D36" s="2">
        <v>15000</v>
      </c>
      <c r="E36" s="5">
        <v>0.1</v>
      </c>
      <c r="F36" s="3">
        <f t="shared" ref="F36:F67" si="2">_xlfn.NORM.DIST(E36:E104,MOYENNE02,Ecart_type02,FALSE)</f>
        <v>9.9379905698128308</v>
      </c>
      <c r="H36" s="6">
        <f t="shared" ref="H36:H72" si="3">-(MOYENNE02-(E36))</f>
        <v>-1.4492753623188415E-2</v>
      </c>
    </row>
    <row r="37" spans="3:8" x14ac:dyDescent="0.3">
      <c r="C37" s="1" t="s">
        <v>24</v>
      </c>
      <c r="D37" s="2">
        <v>16000</v>
      </c>
      <c r="E37" s="5">
        <v>0.1</v>
      </c>
      <c r="F37" s="3">
        <f t="shared" si="2"/>
        <v>9.9379905698128308</v>
      </c>
      <c r="H37" s="6">
        <f t="shared" si="3"/>
        <v>-1.4492753623188415E-2</v>
      </c>
    </row>
    <row r="38" spans="3:8" x14ac:dyDescent="0.3">
      <c r="C38" s="1" t="s">
        <v>8</v>
      </c>
      <c r="D38" s="2">
        <v>14000</v>
      </c>
      <c r="E38" s="5">
        <v>0.105</v>
      </c>
      <c r="F38" s="3">
        <f t="shared" si="2"/>
        <v>10.377815950684839</v>
      </c>
      <c r="H38" s="6">
        <f t="shared" si="3"/>
        <v>-9.4927536231884241E-3</v>
      </c>
    </row>
    <row r="39" spans="3:8" x14ac:dyDescent="0.3">
      <c r="C39" s="1" t="s">
        <v>40</v>
      </c>
      <c r="D39" s="2">
        <v>10000</v>
      </c>
      <c r="E39" s="5">
        <v>0.11</v>
      </c>
      <c r="F39" s="3">
        <f t="shared" si="2"/>
        <v>10.643199511075853</v>
      </c>
      <c r="H39" s="6">
        <f t="shared" si="3"/>
        <v>-4.4927536231884196E-3</v>
      </c>
    </row>
    <row r="40" spans="3:8" x14ac:dyDescent="0.3">
      <c r="C40" s="1" t="s">
        <v>40</v>
      </c>
      <c r="D40" s="2">
        <v>10000</v>
      </c>
      <c r="E40" s="5">
        <v>0.11</v>
      </c>
      <c r="F40" s="3">
        <f t="shared" si="2"/>
        <v>10.643199511075853</v>
      </c>
      <c r="H40" s="6">
        <f t="shared" si="3"/>
        <v>-4.4927536231884196E-3</v>
      </c>
    </row>
    <row r="41" spans="3:8" x14ac:dyDescent="0.3">
      <c r="C41" s="1" t="s">
        <v>31</v>
      </c>
      <c r="D41" s="2">
        <v>15000</v>
      </c>
      <c r="E41" s="5">
        <v>0.11</v>
      </c>
      <c r="F41" s="3">
        <f t="shared" si="2"/>
        <v>10.643199511075853</v>
      </c>
      <c r="H41" s="6">
        <f t="shared" si="3"/>
        <v>-4.4927536231884196E-3</v>
      </c>
    </row>
    <row r="42" spans="3:8" x14ac:dyDescent="0.3">
      <c r="C42" s="1" t="s">
        <v>20</v>
      </c>
      <c r="D42" s="2">
        <v>20000</v>
      </c>
      <c r="E42" s="5">
        <v>0.11</v>
      </c>
      <c r="F42" s="3">
        <f t="shared" si="2"/>
        <v>10.643199511075853</v>
      </c>
      <c r="H42" s="6">
        <f t="shared" si="3"/>
        <v>-4.4927536231884196E-3</v>
      </c>
    </row>
    <row r="43" spans="3:8" x14ac:dyDescent="0.3">
      <c r="C43" s="1" t="s">
        <v>2</v>
      </c>
      <c r="D43" s="2">
        <v>20000</v>
      </c>
      <c r="E43" s="5">
        <v>0.11</v>
      </c>
      <c r="F43" s="3">
        <f t="shared" si="2"/>
        <v>10.643199511075853</v>
      </c>
      <c r="H43" s="6">
        <f t="shared" si="3"/>
        <v>-4.4927536231884196E-3</v>
      </c>
    </row>
    <row r="44" spans="3:8" x14ac:dyDescent="0.3">
      <c r="C44" s="1" t="s">
        <v>14</v>
      </c>
      <c r="D44" s="2">
        <v>10000</v>
      </c>
      <c r="E44" s="5">
        <v>0.12</v>
      </c>
      <c r="F44" s="3">
        <f t="shared" si="2"/>
        <v>10.604281459898324</v>
      </c>
      <c r="H44" s="6">
        <f t="shared" si="3"/>
        <v>5.5072463768115754E-3</v>
      </c>
    </row>
    <row r="45" spans="3:8" x14ac:dyDescent="0.3">
      <c r="C45" s="1" t="s">
        <v>35</v>
      </c>
      <c r="D45" s="2">
        <v>12000</v>
      </c>
      <c r="E45" s="5">
        <v>0.12</v>
      </c>
      <c r="F45" s="3">
        <f t="shared" si="2"/>
        <v>10.604281459898324</v>
      </c>
      <c r="H45" s="6">
        <f t="shared" si="3"/>
        <v>5.5072463768115754E-3</v>
      </c>
    </row>
    <row r="46" spans="3:8" x14ac:dyDescent="0.3">
      <c r="C46" s="1" t="s">
        <v>27</v>
      </c>
      <c r="D46" s="2">
        <v>12000</v>
      </c>
      <c r="E46" s="5">
        <v>0.12</v>
      </c>
      <c r="F46" s="3">
        <f t="shared" si="2"/>
        <v>10.604281459898324</v>
      </c>
      <c r="H46" s="6">
        <f t="shared" si="3"/>
        <v>5.5072463768115754E-3</v>
      </c>
    </row>
    <row r="47" spans="3:8" x14ac:dyDescent="0.3">
      <c r="C47" s="1" t="s">
        <v>27</v>
      </c>
      <c r="D47" s="2">
        <v>12000</v>
      </c>
      <c r="E47" s="5">
        <v>0.12</v>
      </c>
      <c r="F47" s="3">
        <f t="shared" si="2"/>
        <v>10.604281459898324</v>
      </c>
      <c r="H47" s="6">
        <f t="shared" si="3"/>
        <v>5.5072463768115754E-3</v>
      </c>
    </row>
    <row r="48" spans="3:8" x14ac:dyDescent="0.3">
      <c r="C48" s="1" t="s">
        <v>27</v>
      </c>
      <c r="D48" s="2">
        <v>12000</v>
      </c>
      <c r="E48" s="5">
        <v>0.12</v>
      </c>
      <c r="F48" s="3">
        <f t="shared" si="2"/>
        <v>10.604281459898324</v>
      </c>
      <c r="H48" s="6">
        <f t="shared" si="3"/>
        <v>5.5072463768115754E-3</v>
      </c>
    </row>
    <row r="49" spans="3:8" x14ac:dyDescent="0.3">
      <c r="C49" s="1" t="s">
        <v>27</v>
      </c>
      <c r="D49" s="2">
        <v>12000</v>
      </c>
      <c r="E49" s="5">
        <v>0.12</v>
      </c>
      <c r="F49" s="3">
        <f t="shared" si="2"/>
        <v>10.604281459898324</v>
      </c>
      <c r="H49" s="6">
        <f t="shared" si="3"/>
        <v>5.5072463768115754E-3</v>
      </c>
    </row>
    <row r="50" spans="3:8" x14ac:dyDescent="0.3">
      <c r="C50" s="1" t="s">
        <v>35</v>
      </c>
      <c r="D50" s="2">
        <v>12000</v>
      </c>
      <c r="E50" s="5">
        <v>0.12</v>
      </c>
      <c r="F50" s="3">
        <f t="shared" si="2"/>
        <v>10.604281459898324</v>
      </c>
      <c r="H50" s="6">
        <f t="shared" si="3"/>
        <v>5.5072463768115754E-3</v>
      </c>
    </row>
    <row r="51" spans="3:8" x14ac:dyDescent="0.3">
      <c r="C51" s="1" t="s">
        <v>27</v>
      </c>
      <c r="D51" s="2">
        <v>12000</v>
      </c>
      <c r="E51" s="5">
        <v>0.12</v>
      </c>
      <c r="F51" s="3">
        <f t="shared" si="2"/>
        <v>10.604281459898324</v>
      </c>
      <c r="H51" s="6">
        <f t="shared" si="3"/>
        <v>5.5072463768115754E-3</v>
      </c>
    </row>
    <row r="52" spans="3:8" x14ac:dyDescent="0.3">
      <c r="C52" s="1" t="s">
        <v>27</v>
      </c>
      <c r="D52" s="2">
        <v>15000</v>
      </c>
      <c r="E52" s="5">
        <v>0.12</v>
      </c>
      <c r="F52" s="3">
        <f t="shared" si="2"/>
        <v>10.604281459898324</v>
      </c>
      <c r="H52" s="6">
        <f t="shared" si="3"/>
        <v>5.5072463768115754E-3</v>
      </c>
    </row>
    <row r="53" spans="3:8" x14ac:dyDescent="0.3">
      <c r="C53" s="1" t="s">
        <v>18</v>
      </c>
      <c r="D53" s="2">
        <v>15000</v>
      </c>
      <c r="E53" s="5">
        <v>0.12</v>
      </c>
      <c r="F53" s="3">
        <f t="shared" si="2"/>
        <v>10.604281459898324</v>
      </c>
      <c r="H53" s="6">
        <f t="shared" si="3"/>
        <v>5.5072463768115754E-3</v>
      </c>
    </row>
    <row r="54" spans="3:8" x14ac:dyDescent="0.3">
      <c r="C54" s="1" t="s">
        <v>26</v>
      </c>
      <c r="D54" s="2">
        <v>16000</v>
      </c>
      <c r="E54" s="5">
        <v>0.12</v>
      </c>
      <c r="F54" s="3">
        <f t="shared" si="2"/>
        <v>10.604281459898324</v>
      </c>
      <c r="H54" s="6">
        <f t="shared" si="3"/>
        <v>5.5072463768115754E-3</v>
      </c>
    </row>
    <row r="55" spans="3:8" x14ac:dyDescent="0.3">
      <c r="C55" s="1" t="s">
        <v>23</v>
      </c>
      <c r="D55" s="2">
        <v>16000</v>
      </c>
      <c r="E55" s="5">
        <v>0.12</v>
      </c>
      <c r="F55" s="3">
        <f t="shared" si="2"/>
        <v>10.604281459898324</v>
      </c>
      <c r="H55" s="6">
        <f t="shared" si="3"/>
        <v>5.5072463768115754E-3</v>
      </c>
    </row>
    <row r="56" spans="3:8" x14ac:dyDescent="0.3">
      <c r="C56" s="1" t="s">
        <v>18</v>
      </c>
      <c r="D56" s="2">
        <v>20000</v>
      </c>
      <c r="E56" s="5">
        <v>0.12</v>
      </c>
      <c r="F56" s="3">
        <f t="shared" si="2"/>
        <v>10.604281459898324</v>
      </c>
      <c r="H56" s="6">
        <f t="shared" si="3"/>
        <v>5.5072463768115754E-3</v>
      </c>
    </row>
    <row r="57" spans="3:8" x14ac:dyDescent="0.3">
      <c r="C57" s="1" t="s">
        <v>28</v>
      </c>
      <c r="D57" s="2">
        <v>15000</v>
      </c>
      <c r="E57" s="5">
        <v>0.13500000000000001</v>
      </c>
      <c r="F57" s="3">
        <f t="shared" si="2"/>
        <v>9.2105639777637105</v>
      </c>
      <c r="H57" s="6">
        <f t="shared" si="3"/>
        <v>2.0507246376811589E-2</v>
      </c>
    </row>
    <row r="58" spans="3:8" x14ac:dyDescent="0.3">
      <c r="C58" s="1" t="s">
        <v>5</v>
      </c>
      <c r="D58" s="2">
        <v>15000</v>
      </c>
      <c r="E58" s="5">
        <v>0.13500000000000001</v>
      </c>
      <c r="F58" s="3">
        <f t="shared" si="2"/>
        <v>9.2105639777637105</v>
      </c>
      <c r="H58" s="6">
        <f t="shared" si="3"/>
        <v>2.0507246376811589E-2</v>
      </c>
    </row>
    <row r="59" spans="3:8" x14ac:dyDescent="0.3">
      <c r="C59" s="1" t="s">
        <v>4</v>
      </c>
      <c r="D59" s="2">
        <v>15000</v>
      </c>
      <c r="E59" s="5">
        <v>0.13500000000000001</v>
      </c>
      <c r="F59" s="3">
        <f t="shared" si="2"/>
        <v>9.2105639777637105</v>
      </c>
      <c r="H59" s="6">
        <f t="shared" si="3"/>
        <v>2.0507246376811589E-2</v>
      </c>
    </row>
    <row r="60" spans="3:8" x14ac:dyDescent="0.3">
      <c r="C60" s="1" t="s">
        <v>36</v>
      </c>
      <c r="D60" s="2">
        <v>12000</v>
      </c>
      <c r="E60" s="5">
        <v>0.14499999999999999</v>
      </c>
      <c r="F60" s="3">
        <f t="shared" si="2"/>
        <v>7.6609709738046661</v>
      </c>
      <c r="H60" s="6">
        <f t="shared" si="3"/>
        <v>3.050724637681157E-2</v>
      </c>
    </row>
    <row r="61" spans="3:8" x14ac:dyDescent="0.3">
      <c r="C61" s="1" t="s">
        <v>17</v>
      </c>
      <c r="D61" s="2">
        <v>20000</v>
      </c>
      <c r="E61" s="5">
        <v>0.15</v>
      </c>
      <c r="F61" s="3">
        <f t="shared" si="2"/>
        <v>6.8001876329046942</v>
      </c>
      <c r="H61" s="6">
        <f t="shared" si="3"/>
        <v>3.5507246376811574E-2</v>
      </c>
    </row>
    <row r="62" spans="3:8" x14ac:dyDescent="0.3">
      <c r="C62" s="1" t="s">
        <v>18</v>
      </c>
      <c r="D62" s="2">
        <v>20000</v>
      </c>
      <c r="E62" s="5">
        <v>0.15</v>
      </c>
      <c r="F62" s="3">
        <f t="shared" si="2"/>
        <v>6.8001876329046942</v>
      </c>
      <c r="H62" s="6">
        <f t="shared" si="3"/>
        <v>3.5507246376811574E-2</v>
      </c>
    </row>
    <row r="63" spans="3:8" x14ac:dyDescent="0.3">
      <c r="C63" s="1" t="s">
        <v>17</v>
      </c>
      <c r="D63" s="2">
        <v>20000</v>
      </c>
      <c r="E63" s="5">
        <v>0.15</v>
      </c>
      <c r="F63" s="3">
        <f t="shared" si="2"/>
        <v>6.8001876329046942</v>
      </c>
      <c r="H63" s="6">
        <f t="shared" si="3"/>
        <v>3.5507246376811574E-2</v>
      </c>
    </row>
    <row r="64" spans="3:8" x14ac:dyDescent="0.3">
      <c r="C64" s="1" t="s">
        <v>37</v>
      </c>
      <c r="D64" s="2">
        <v>12000</v>
      </c>
      <c r="E64" s="5">
        <v>0.16</v>
      </c>
      <c r="F64" s="3">
        <f t="shared" si="2"/>
        <v>5.0754157087791816</v>
      </c>
      <c r="H64" s="6">
        <f t="shared" si="3"/>
        <v>4.5507246376811583E-2</v>
      </c>
    </row>
    <row r="65" spans="3:9" x14ac:dyDescent="0.3">
      <c r="C65" s="1" t="s">
        <v>25</v>
      </c>
      <c r="D65" s="2">
        <v>15000</v>
      </c>
      <c r="E65" s="5">
        <v>0.17499999999999999</v>
      </c>
      <c r="F65" s="3">
        <f t="shared" si="2"/>
        <v>2.8581769822292102</v>
      </c>
      <c r="H65" s="6">
        <f t="shared" si="3"/>
        <v>6.0507246376811569E-2</v>
      </c>
    </row>
    <row r="66" spans="3:9" x14ac:dyDescent="0.3">
      <c r="C66" s="1" t="s">
        <v>0</v>
      </c>
      <c r="D66" s="2">
        <v>20000</v>
      </c>
      <c r="E66" s="5">
        <v>0.18</v>
      </c>
      <c r="F66" s="3">
        <f t="shared" si="2"/>
        <v>2.2765611840209941</v>
      </c>
      <c r="H66" s="6">
        <f t="shared" si="3"/>
        <v>6.5507246376811573E-2</v>
      </c>
    </row>
    <row r="67" spans="3:9" x14ac:dyDescent="0.3">
      <c r="C67" s="1" t="s">
        <v>0</v>
      </c>
      <c r="D67" s="2">
        <v>20000</v>
      </c>
      <c r="E67" s="5">
        <v>0.18</v>
      </c>
      <c r="F67" s="3">
        <f t="shared" si="2"/>
        <v>2.2765611840209941</v>
      </c>
      <c r="H67" s="6">
        <f t="shared" si="3"/>
        <v>6.5507246376811573E-2</v>
      </c>
    </row>
    <row r="68" spans="3:9" x14ac:dyDescent="0.3">
      <c r="C68" s="1" t="s">
        <v>25</v>
      </c>
      <c r="D68" s="2">
        <v>12000</v>
      </c>
      <c r="E68" s="5">
        <v>0.19</v>
      </c>
      <c r="F68" s="3">
        <f t="shared" ref="F68:F99" si="4">_xlfn.NORM.DIST(E68:E136,MOYENNE02,Ecart_type02,FALSE)</f>
        <v>1.3681581772781923</v>
      </c>
      <c r="H68" s="6">
        <f t="shared" si="3"/>
        <v>7.5507246376811582E-2</v>
      </c>
    </row>
    <row r="69" spans="3:9" x14ac:dyDescent="0.3">
      <c r="C69" s="1" t="s">
        <v>25</v>
      </c>
      <c r="D69" s="2">
        <v>14000</v>
      </c>
      <c r="E69" s="5">
        <v>0.19</v>
      </c>
      <c r="F69" s="3">
        <f t="shared" si="4"/>
        <v>1.3681581772781923</v>
      </c>
      <c r="H69" s="6">
        <f t="shared" si="3"/>
        <v>7.5507246376811582E-2</v>
      </c>
    </row>
    <row r="70" spans="3:9" x14ac:dyDescent="0.3">
      <c r="C70" s="1" t="s">
        <v>25</v>
      </c>
      <c r="D70" s="2">
        <v>16000</v>
      </c>
      <c r="E70" s="5">
        <v>0.2</v>
      </c>
      <c r="F70" s="3">
        <f t="shared" si="4"/>
        <v>0.76494236524422321</v>
      </c>
      <c r="H70" s="6">
        <f t="shared" si="3"/>
        <v>8.5507246376811591E-2</v>
      </c>
    </row>
    <row r="71" spans="3:9" x14ac:dyDescent="0.3">
      <c r="C71" s="1" t="s">
        <v>25</v>
      </c>
      <c r="D71" s="2">
        <v>14000</v>
      </c>
      <c r="E71" s="5">
        <v>0.22</v>
      </c>
      <c r="F71" s="3">
        <f t="shared" si="4"/>
        <v>0.19253947461218424</v>
      </c>
      <c r="H71" s="6">
        <f t="shared" si="3"/>
        <v>0.10550724637681158</v>
      </c>
    </row>
    <row r="72" spans="3:9" x14ac:dyDescent="0.3">
      <c r="C72" s="1" t="s">
        <v>32</v>
      </c>
      <c r="D72" s="2">
        <v>15000</v>
      </c>
      <c r="E72" s="5">
        <v>0.22</v>
      </c>
      <c r="F72" s="3">
        <f t="shared" si="4"/>
        <v>0.19253947461218424</v>
      </c>
      <c r="H72" s="6">
        <f t="shared" si="3"/>
        <v>0.10550724637681158</v>
      </c>
    </row>
    <row r="73" spans="3:9" x14ac:dyDescent="0.3">
      <c r="D73" t="s">
        <v>47</v>
      </c>
      <c r="E73" s="4">
        <f>AVERAGE(E4:E72)</f>
        <v>0.11449275362318842</v>
      </c>
      <c r="H73" s="7">
        <f>AVERAGE(H4:H72)</f>
        <v>-3.0973613368165601E-17</v>
      </c>
      <c r="I73">
        <f>H73*H73</f>
        <v>9.5936472508060688E-34</v>
      </c>
    </row>
    <row r="74" spans="3:9" x14ac:dyDescent="0.3">
      <c r="D74" t="s">
        <v>48</v>
      </c>
      <c r="E74">
        <f>_xlfn.STDEV.S(E4:E72)</f>
        <v>3.7211092269567807E-2</v>
      </c>
      <c r="H74">
        <f>_xlfn.STDEV.S(H4:H72)</f>
        <v>3.7211092269567807E-2</v>
      </c>
      <c r="I74">
        <f>E74*E74</f>
        <v>1.3846653878942889E-3</v>
      </c>
    </row>
  </sheetData>
  <sortState xmlns:xlrd2="http://schemas.microsoft.com/office/spreadsheetml/2017/richdata2" ref="C4:E72">
    <sortCondition ref="E4:E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74"/>
  <sheetViews>
    <sheetView topLeftCell="B28" workbookViewId="0">
      <selection activeCell="K52" sqref="K52"/>
    </sheetView>
  </sheetViews>
  <sheetFormatPr baseColWidth="10" defaultRowHeight="14.4" x14ac:dyDescent="0.3"/>
  <cols>
    <col min="3" max="3" width="36.5546875" customWidth="1"/>
    <col min="6" max="6" width="27.6640625" bestFit="1" customWidth="1"/>
    <col min="7" max="7" width="22.44140625" customWidth="1"/>
    <col min="9" max="9" width="4.5546875" customWidth="1"/>
    <col min="10" max="10" width="19.109375" customWidth="1"/>
  </cols>
  <sheetData>
    <row r="3" spans="3:6" x14ac:dyDescent="0.3">
      <c r="D3" s="3" t="s">
        <v>46</v>
      </c>
      <c r="E3" s="3" t="s">
        <v>45</v>
      </c>
      <c r="F3" s="3" t="s">
        <v>50</v>
      </c>
    </row>
    <row r="4" spans="3:6" x14ac:dyDescent="0.3">
      <c r="C4" s="1" t="s">
        <v>43</v>
      </c>
      <c r="D4" s="2">
        <v>14000</v>
      </c>
      <c r="E4" s="5">
        <v>0.05</v>
      </c>
      <c r="F4" s="3">
        <f t="shared" ref="F4:F35" si="0">_xlfn.NORM.DIST(E4:E54,MOYENNE02,Ecart_type02,FALSE)</f>
        <v>2.4500236402542184</v>
      </c>
    </row>
    <row r="5" spans="3:6" x14ac:dyDescent="0.3">
      <c r="C5" s="1" t="s">
        <v>8</v>
      </c>
      <c r="D5" s="2">
        <v>14000</v>
      </c>
      <c r="E5" s="5">
        <v>0.06</v>
      </c>
      <c r="F5" s="3">
        <f t="shared" si="0"/>
        <v>3.8142171224250081</v>
      </c>
    </row>
    <row r="6" spans="3:6" x14ac:dyDescent="0.3">
      <c r="C6" s="1" t="s">
        <v>39</v>
      </c>
      <c r="D6" s="2">
        <v>12000</v>
      </c>
      <c r="E6" s="5">
        <v>7.0000000000000007E-2</v>
      </c>
      <c r="F6" s="3">
        <f t="shared" si="0"/>
        <v>5.4991255673333095</v>
      </c>
    </row>
    <row r="7" spans="3:6" x14ac:dyDescent="0.3">
      <c r="C7" s="1" t="s">
        <v>33</v>
      </c>
      <c r="D7" s="2">
        <v>13000</v>
      </c>
      <c r="E7" s="5">
        <v>7.0000000000000007E-2</v>
      </c>
      <c r="F7" s="3">
        <f t="shared" si="0"/>
        <v>5.4991255673333095</v>
      </c>
    </row>
    <row r="8" spans="3:6" x14ac:dyDescent="0.3">
      <c r="C8" s="1" t="s">
        <v>7</v>
      </c>
      <c r="D8" s="2">
        <v>15000</v>
      </c>
      <c r="E8" s="5">
        <v>7.0000000000000007E-2</v>
      </c>
      <c r="F8" s="3">
        <f t="shared" si="0"/>
        <v>5.4991255673333095</v>
      </c>
    </row>
    <row r="9" spans="3:6" x14ac:dyDescent="0.3">
      <c r="C9" s="1" t="s">
        <v>16</v>
      </c>
      <c r="D9" s="2">
        <v>10000</v>
      </c>
      <c r="E9" s="5">
        <v>0.08</v>
      </c>
      <c r="F9" s="3">
        <f t="shared" si="0"/>
        <v>7.3423477556673129</v>
      </c>
    </row>
    <row r="10" spans="3:6" x14ac:dyDescent="0.3">
      <c r="C10" s="1" t="s">
        <v>13</v>
      </c>
      <c r="D10" s="2">
        <v>10000</v>
      </c>
      <c r="E10" s="5">
        <v>0.08</v>
      </c>
      <c r="F10" s="3">
        <f t="shared" si="0"/>
        <v>7.3423477556673129</v>
      </c>
    </row>
    <row r="11" spans="3:6" x14ac:dyDescent="0.3">
      <c r="C11" s="1" t="s">
        <v>41</v>
      </c>
      <c r="D11" s="2">
        <v>10000</v>
      </c>
      <c r="E11" s="5">
        <v>0.08</v>
      </c>
      <c r="F11" s="3">
        <f t="shared" si="0"/>
        <v>7.3423477556673129</v>
      </c>
    </row>
    <row r="12" spans="3:6" x14ac:dyDescent="0.3">
      <c r="C12" s="1" t="s">
        <v>16</v>
      </c>
      <c r="D12" s="2">
        <v>10000</v>
      </c>
      <c r="E12" s="5">
        <v>0.08</v>
      </c>
      <c r="F12" s="3">
        <f t="shared" si="0"/>
        <v>7.3423477556673129</v>
      </c>
    </row>
    <row r="13" spans="3:6" x14ac:dyDescent="0.3">
      <c r="C13" s="1" t="s">
        <v>13</v>
      </c>
      <c r="D13" s="2">
        <v>10000</v>
      </c>
      <c r="E13" s="5">
        <v>0.08</v>
      </c>
      <c r="F13" s="3">
        <f t="shared" si="0"/>
        <v>7.3423477556673129</v>
      </c>
    </row>
    <row r="14" spans="3:6" x14ac:dyDescent="0.3">
      <c r="C14" s="1" t="s">
        <v>6</v>
      </c>
      <c r="D14" s="2">
        <v>15000</v>
      </c>
      <c r="E14" s="5">
        <v>8.5000000000000006E-2</v>
      </c>
      <c r="F14" s="3">
        <f t="shared" si="0"/>
        <v>8.2432887953725391</v>
      </c>
    </row>
    <row r="15" spans="3:6" x14ac:dyDescent="0.3">
      <c r="C15" s="1" t="s">
        <v>15</v>
      </c>
      <c r="D15" s="2">
        <v>10000</v>
      </c>
      <c r="E15" s="5">
        <v>0.1</v>
      </c>
      <c r="F15" s="3">
        <f t="shared" si="0"/>
        <v>10.396253079409998</v>
      </c>
    </row>
    <row r="16" spans="3:6" x14ac:dyDescent="0.3">
      <c r="C16" s="1" t="s">
        <v>15</v>
      </c>
      <c r="D16" s="2">
        <v>10000</v>
      </c>
      <c r="E16" s="5">
        <v>0.1</v>
      </c>
      <c r="F16" s="3">
        <f t="shared" si="0"/>
        <v>10.396253079409998</v>
      </c>
    </row>
    <row r="17" spans="3:6" x14ac:dyDescent="0.3">
      <c r="C17" s="1" t="s">
        <v>44</v>
      </c>
      <c r="D17" s="2">
        <v>12000</v>
      </c>
      <c r="E17" s="5">
        <v>0.1</v>
      </c>
      <c r="F17" s="3">
        <f t="shared" si="0"/>
        <v>10.396253079409998</v>
      </c>
    </row>
    <row r="18" spans="3:6" x14ac:dyDescent="0.3">
      <c r="C18" s="1" t="s">
        <v>38</v>
      </c>
      <c r="D18" s="2">
        <v>12000</v>
      </c>
      <c r="E18" s="5">
        <v>0.1</v>
      </c>
      <c r="F18" s="3">
        <f t="shared" si="0"/>
        <v>10.396253079409998</v>
      </c>
    </row>
    <row r="19" spans="3:6" x14ac:dyDescent="0.3">
      <c r="C19" s="1" t="s">
        <v>12</v>
      </c>
      <c r="D19" s="2">
        <v>12000</v>
      </c>
      <c r="E19" s="5">
        <v>0.1</v>
      </c>
      <c r="F19" s="3">
        <f t="shared" si="0"/>
        <v>10.396253079409998</v>
      </c>
    </row>
    <row r="20" spans="3:6" x14ac:dyDescent="0.3">
      <c r="C20" s="1" t="s">
        <v>12</v>
      </c>
      <c r="D20" s="2">
        <v>12000</v>
      </c>
      <c r="E20" s="5">
        <v>0.1</v>
      </c>
      <c r="F20" s="3">
        <f t="shared" si="0"/>
        <v>10.396253079409998</v>
      </c>
    </row>
    <row r="21" spans="3:6" x14ac:dyDescent="0.3">
      <c r="C21" s="1" t="s">
        <v>34</v>
      </c>
      <c r="D21" s="2">
        <v>13000</v>
      </c>
      <c r="E21" s="5">
        <v>0.1</v>
      </c>
      <c r="F21" s="3">
        <f t="shared" si="0"/>
        <v>10.396253079409998</v>
      </c>
    </row>
    <row r="22" spans="3:6" x14ac:dyDescent="0.3">
      <c r="C22" s="1" t="s">
        <v>11</v>
      </c>
      <c r="D22" s="2">
        <v>13300</v>
      </c>
      <c r="E22" s="5">
        <v>0.1</v>
      </c>
      <c r="F22" s="3">
        <f t="shared" si="0"/>
        <v>10.396253079409998</v>
      </c>
    </row>
    <row r="23" spans="3:6" x14ac:dyDescent="0.3">
      <c r="C23" s="1" t="s">
        <v>10</v>
      </c>
      <c r="D23" s="2">
        <v>13300</v>
      </c>
      <c r="E23" s="5">
        <v>0.1</v>
      </c>
      <c r="F23" s="3">
        <f t="shared" si="0"/>
        <v>10.396253079409998</v>
      </c>
    </row>
    <row r="24" spans="3:6" x14ac:dyDescent="0.3">
      <c r="C24" s="1" t="s">
        <v>9</v>
      </c>
      <c r="D24" s="2">
        <v>13300</v>
      </c>
      <c r="E24" s="5">
        <v>0.1</v>
      </c>
      <c r="F24" s="3">
        <f t="shared" si="0"/>
        <v>10.396253079409998</v>
      </c>
    </row>
    <row r="25" spans="3:6" x14ac:dyDescent="0.3">
      <c r="C25" s="1" t="s">
        <v>27</v>
      </c>
      <c r="D25" s="2">
        <v>15000</v>
      </c>
      <c r="E25" s="5">
        <v>0.1</v>
      </c>
      <c r="F25" s="3">
        <f t="shared" si="0"/>
        <v>10.396253079409998</v>
      </c>
    </row>
    <row r="26" spans="3:6" x14ac:dyDescent="0.3">
      <c r="C26" s="1" t="s">
        <v>27</v>
      </c>
      <c r="D26" s="2">
        <v>15000</v>
      </c>
      <c r="E26" s="5">
        <v>0.1</v>
      </c>
      <c r="F26" s="3">
        <f t="shared" si="0"/>
        <v>10.396253079409998</v>
      </c>
    </row>
    <row r="27" spans="3:6" x14ac:dyDescent="0.3">
      <c r="C27" s="1" t="s">
        <v>30</v>
      </c>
      <c r="D27" s="2">
        <v>15000</v>
      </c>
      <c r="E27" s="5">
        <v>0.1</v>
      </c>
      <c r="F27" s="3">
        <f t="shared" si="0"/>
        <v>10.396253079409998</v>
      </c>
    </row>
    <row r="28" spans="3:6" x14ac:dyDescent="0.3">
      <c r="C28" s="1" t="s">
        <v>29</v>
      </c>
      <c r="D28" s="2">
        <v>15000</v>
      </c>
      <c r="E28" s="5">
        <v>0.1</v>
      </c>
      <c r="F28" s="3">
        <f t="shared" si="0"/>
        <v>10.396253079409998</v>
      </c>
    </row>
    <row r="29" spans="3:6" x14ac:dyDescent="0.3">
      <c r="C29" s="1" t="s">
        <v>27</v>
      </c>
      <c r="D29" s="2">
        <v>15000</v>
      </c>
      <c r="E29" s="5">
        <v>0.1</v>
      </c>
      <c r="F29" s="3">
        <f t="shared" si="0"/>
        <v>10.396253079409998</v>
      </c>
    </row>
    <row r="30" spans="3:6" x14ac:dyDescent="0.3">
      <c r="C30" s="1" t="s">
        <v>27</v>
      </c>
      <c r="D30" s="2">
        <v>15000</v>
      </c>
      <c r="E30" s="5">
        <v>0.1</v>
      </c>
      <c r="F30" s="3">
        <f t="shared" si="0"/>
        <v>10.396253079409998</v>
      </c>
    </row>
    <row r="31" spans="3:6" x14ac:dyDescent="0.3">
      <c r="C31" s="1" t="s">
        <v>8</v>
      </c>
      <c r="D31" s="2">
        <v>14000</v>
      </c>
      <c r="E31" s="5">
        <v>0.105</v>
      </c>
      <c r="F31" s="3">
        <f t="shared" si="0"/>
        <v>10.809248388668978</v>
      </c>
    </row>
    <row r="32" spans="3:6" x14ac:dyDescent="0.3">
      <c r="C32" s="1" t="s">
        <v>40</v>
      </c>
      <c r="D32" s="2">
        <v>10000</v>
      </c>
      <c r="E32" s="5">
        <v>0.11</v>
      </c>
      <c r="F32" s="3">
        <f t="shared" si="0"/>
        <v>11.024970154383414</v>
      </c>
    </row>
    <row r="33" spans="3:6" x14ac:dyDescent="0.3">
      <c r="C33" s="1" t="s">
        <v>40</v>
      </c>
      <c r="D33" s="2">
        <v>10000</v>
      </c>
      <c r="E33" s="5">
        <v>0.11</v>
      </c>
      <c r="F33" s="3">
        <f t="shared" si="0"/>
        <v>11.024970154383414</v>
      </c>
    </row>
    <row r="34" spans="3:6" x14ac:dyDescent="0.3">
      <c r="C34" s="1" t="s">
        <v>31</v>
      </c>
      <c r="D34" s="2">
        <v>15000</v>
      </c>
      <c r="E34" s="5">
        <v>0.11</v>
      </c>
      <c r="F34" s="3">
        <f t="shared" si="0"/>
        <v>11.024970154383414</v>
      </c>
    </row>
    <row r="35" spans="3:6" x14ac:dyDescent="0.3">
      <c r="C35" s="1" t="s">
        <v>14</v>
      </c>
      <c r="D35" s="2">
        <v>10000</v>
      </c>
      <c r="E35" s="5">
        <v>0.12</v>
      </c>
      <c r="F35" s="3">
        <f t="shared" si="0"/>
        <v>10.827572250005321</v>
      </c>
    </row>
    <row r="36" spans="3:6" x14ac:dyDescent="0.3">
      <c r="C36" s="1" t="s">
        <v>35</v>
      </c>
      <c r="D36" s="2">
        <v>12000</v>
      </c>
      <c r="E36" s="5">
        <v>0.12</v>
      </c>
      <c r="F36" s="3">
        <f t="shared" ref="F36:F67" si="1">_xlfn.NORM.DIST(E36:E86,MOYENNE02,Ecart_type02,FALSE)</f>
        <v>10.827572250005321</v>
      </c>
    </row>
    <row r="37" spans="3:6" x14ac:dyDescent="0.3">
      <c r="C37" s="1" t="s">
        <v>27</v>
      </c>
      <c r="D37" s="2">
        <v>12000</v>
      </c>
      <c r="E37" s="5">
        <v>0.12</v>
      </c>
      <c r="F37" s="3">
        <f t="shared" si="1"/>
        <v>10.827572250005321</v>
      </c>
    </row>
    <row r="38" spans="3:6" x14ac:dyDescent="0.3">
      <c r="C38" s="1" t="s">
        <v>27</v>
      </c>
      <c r="D38" s="2">
        <v>12000</v>
      </c>
      <c r="E38" s="5">
        <v>0.12</v>
      </c>
      <c r="F38" s="3">
        <f t="shared" si="1"/>
        <v>10.827572250005321</v>
      </c>
    </row>
    <row r="39" spans="3:6" x14ac:dyDescent="0.3">
      <c r="C39" s="1" t="s">
        <v>27</v>
      </c>
      <c r="D39" s="2">
        <v>12000</v>
      </c>
      <c r="E39" s="5">
        <v>0.12</v>
      </c>
      <c r="F39" s="3">
        <f t="shared" si="1"/>
        <v>10.827572250005321</v>
      </c>
    </row>
    <row r="40" spans="3:6" x14ac:dyDescent="0.3">
      <c r="C40" s="1" t="s">
        <v>27</v>
      </c>
      <c r="D40" s="2">
        <v>12000</v>
      </c>
      <c r="E40" s="5">
        <v>0.12</v>
      </c>
      <c r="F40" s="3">
        <f t="shared" si="1"/>
        <v>10.827572250005321</v>
      </c>
    </row>
    <row r="41" spans="3:6" x14ac:dyDescent="0.3">
      <c r="C41" s="1" t="s">
        <v>35</v>
      </c>
      <c r="D41" s="2">
        <v>12000</v>
      </c>
      <c r="E41" s="5">
        <v>0.12</v>
      </c>
      <c r="F41" s="3">
        <f t="shared" si="1"/>
        <v>10.827572250005321</v>
      </c>
    </row>
    <row r="42" spans="3:6" x14ac:dyDescent="0.3">
      <c r="C42" s="1" t="s">
        <v>27</v>
      </c>
      <c r="D42" s="2">
        <v>12000</v>
      </c>
      <c r="E42" s="5">
        <v>0.12</v>
      </c>
      <c r="F42" s="3">
        <f t="shared" si="1"/>
        <v>10.827572250005321</v>
      </c>
    </row>
    <row r="43" spans="3:6" x14ac:dyDescent="0.3">
      <c r="C43" s="1" t="s">
        <v>27</v>
      </c>
      <c r="D43" s="2">
        <v>15000</v>
      </c>
      <c r="E43" s="5">
        <v>0.12</v>
      </c>
      <c r="F43" s="3">
        <f t="shared" si="1"/>
        <v>10.827572250005321</v>
      </c>
    </row>
    <row r="44" spans="3:6" x14ac:dyDescent="0.3">
      <c r="C44" s="1" t="s">
        <v>18</v>
      </c>
      <c r="D44" s="2">
        <v>15000</v>
      </c>
      <c r="E44" s="5">
        <v>0.12</v>
      </c>
      <c r="F44" s="3">
        <f t="shared" si="1"/>
        <v>10.827572250005321</v>
      </c>
    </row>
    <row r="45" spans="3:6" x14ac:dyDescent="0.3">
      <c r="C45" s="1" t="s">
        <v>28</v>
      </c>
      <c r="D45" s="2">
        <v>15000</v>
      </c>
      <c r="E45" s="5">
        <v>0.13500000000000001</v>
      </c>
      <c r="F45" s="3">
        <f t="shared" si="1"/>
        <v>9.1250684992188997</v>
      </c>
    </row>
    <row r="46" spans="3:6" x14ac:dyDescent="0.3">
      <c r="C46" s="1" t="s">
        <v>5</v>
      </c>
      <c r="D46" s="2">
        <v>15000</v>
      </c>
      <c r="E46" s="5">
        <v>0.13500000000000001</v>
      </c>
      <c r="F46" s="3">
        <f t="shared" si="1"/>
        <v>9.1250684992188997</v>
      </c>
    </row>
    <row r="47" spans="3:6" x14ac:dyDescent="0.3">
      <c r="C47" s="1" t="s">
        <v>4</v>
      </c>
      <c r="D47" s="2">
        <v>15000</v>
      </c>
      <c r="E47" s="5">
        <v>0.13500000000000001</v>
      </c>
      <c r="F47" s="3">
        <f t="shared" si="1"/>
        <v>9.1250684992188997</v>
      </c>
    </row>
    <row r="48" spans="3:6" x14ac:dyDescent="0.3">
      <c r="C48" s="1" t="s">
        <v>36</v>
      </c>
      <c r="D48" s="2">
        <v>12000</v>
      </c>
      <c r="E48" s="5">
        <v>0.14499999999999999</v>
      </c>
      <c r="F48" s="3">
        <f t="shared" si="1"/>
        <v>7.3964363207208352</v>
      </c>
    </row>
    <row r="49" spans="3:6" x14ac:dyDescent="0.3">
      <c r="C49" s="1" t="s">
        <v>37</v>
      </c>
      <c r="D49" s="2">
        <v>12000</v>
      </c>
      <c r="E49" s="5">
        <v>0.16</v>
      </c>
      <c r="F49" s="3">
        <f t="shared" si="1"/>
        <v>4.6738702034575699</v>
      </c>
    </row>
    <row r="50" spans="3:6" x14ac:dyDescent="0.3">
      <c r="C50" s="1" t="s">
        <v>25</v>
      </c>
      <c r="D50" s="2">
        <v>15000</v>
      </c>
      <c r="E50" s="5">
        <v>0.17499999999999999</v>
      </c>
      <c r="F50" s="3">
        <f t="shared" si="1"/>
        <v>2.484850254747665</v>
      </c>
    </row>
    <row r="51" spans="3:6" x14ac:dyDescent="0.3">
      <c r="C51" s="1" t="s">
        <v>25</v>
      </c>
      <c r="D51" s="2">
        <v>12000</v>
      </c>
      <c r="E51" s="5">
        <v>0.19</v>
      </c>
      <c r="F51" s="3">
        <f t="shared" si="1"/>
        <v>1.111458484315172</v>
      </c>
    </row>
    <row r="52" spans="3:6" x14ac:dyDescent="0.3">
      <c r="C52" s="1" t="s">
        <v>25</v>
      </c>
      <c r="D52" s="2">
        <v>14000</v>
      </c>
      <c r="E52" s="5">
        <v>0.19</v>
      </c>
      <c r="F52" s="3">
        <f t="shared" si="1"/>
        <v>1.111458484315172</v>
      </c>
    </row>
    <row r="53" spans="3:6" x14ac:dyDescent="0.3">
      <c r="C53" s="1" t="s">
        <v>25</v>
      </c>
      <c r="D53" s="2">
        <v>14000</v>
      </c>
      <c r="E53" s="5">
        <v>0.22</v>
      </c>
      <c r="F53" s="3">
        <f t="shared" si="1"/>
        <v>0.13243038457881459</v>
      </c>
    </row>
    <row r="54" spans="3:6" x14ac:dyDescent="0.3">
      <c r="C54" s="1" t="s">
        <v>32</v>
      </c>
      <c r="D54" s="2">
        <v>15000</v>
      </c>
      <c r="E54" s="5">
        <v>0.22</v>
      </c>
      <c r="F54" s="3">
        <f t="shared" si="1"/>
        <v>0.13243038457881459</v>
      </c>
    </row>
    <row r="55" spans="3:6" x14ac:dyDescent="0.3">
      <c r="D55" t="s">
        <v>47</v>
      </c>
      <c r="E55" s="4">
        <f>AVERAGE(E4:E54)</f>
        <v>0.11264705882352943</v>
      </c>
    </row>
    <row r="56" spans="3:6" x14ac:dyDescent="0.3">
      <c r="D56" t="s">
        <v>48</v>
      </c>
      <c r="E56">
        <f>_xlfn.STDEV.S(E4:E54)</f>
        <v>3.6088127426848769E-2</v>
      </c>
    </row>
    <row r="73" spans="8:8" x14ac:dyDescent="0.3">
      <c r="H73" t="e">
        <f>#REF!*#REF!</f>
        <v>#REF!</v>
      </c>
    </row>
    <row r="74" spans="8:8" x14ac:dyDescent="0.3">
      <c r="H74">
        <f>E56*E56</f>
        <v>1.3023529411764743E-3</v>
      </c>
    </row>
  </sheetData>
  <sortState xmlns:xlrd2="http://schemas.microsoft.com/office/spreadsheetml/2017/richdata2" ref="C4:F54">
    <sortCondition ref="E4:E5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N69"/>
  <sheetViews>
    <sheetView topLeftCell="E1" workbookViewId="0">
      <selection activeCell="P22" sqref="P22"/>
    </sheetView>
  </sheetViews>
  <sheetFormatPr baseColWidth="10" defaultRowHeight="14.4" x14ac:dyDescent="0.3"/>
  <cols>
    <col min="3" max="3" width="36.5546875" customWidth="1"/>
    <col min="6" max="6" width="26.33203125" customWidth="1"/>
    <col min="7" max="7" width="22.44140625" customWidth="1"/>
    <col min="8" max="8" width="21.88671875" customWidth="1"/>
    <col min="9" max="9" width="4.5546875" customWidth="1"/>
    <col min="10" max="10" width="19.109375" customWidth="1"/>
  </cols>
  <sheetData>
    <row r="2" spans="3:8" x14ac:dyDescent="0.3">
      <c r="G2" s="3"/>
    </row>
    <row r="3" spans="3:8" x14ac:dyDescent="0.3">
      <c r="D3" s="3" t="s">
        <v>46</v>
      </c>
      <c r="E3" s="3" t="s">
        <v>45</v>
      </c>
      <c r="F3" s="3" t="s">
        <v>51</v>
      </c>
      <c r="G3" s="3" t="s">
        <v>57</v>
      </c>
      <c r="H3" s="3" t="s">
        <v>52</v>
      </c>
    </row>
    <row r="4" spans="3:8" x14ac:dyDescent="0.3">
      <c r="C4" s="1" t="s">
        <v>43</v>
      </c>
      <c r="D4" s="2">
        <v>14000</v>
      </c>
      <c r="E4" s="13">
        <v>0.05</v>
      </c>
      <c r="F4" s="10">
        <v>-3</v>
      </c>
      <c r="G4" s="8">
        <f>E58</f>
        <v>4.3826765429831327E-3</v>
      </c>
      <c r="H4">
        <f t="shared" ref="H4:H35" si="0">_xlfn.NORM.DIST(G4:G64,MOYENNE02,Ecart_type02,FALSE)</f>
        <v>0.12280627253163627</v>
      </c>
    </row>
    <row r="5" spans="3:8" x14ac:dyDescent="0.3">
      <c r="C5" s="1" t="s">
        <v>8</v>
      </c>
      <c r="D5" s="2">
        <v>14000</v>
      </c>
      <c r="E5" s="13">
        <v>0.06</v>
      </c>
      <c r="F5" s="10">
        <f>F4+0.1</f>
        <v>-2.9</v>
      </c>
      <c r="G5" s="3">
        <f t="shared" ref="G5:G36" si="1">G4+distribution02</f>
        <v>7.9914892856680093E-3</v>
      </c>
      <c r="H5">
        <f t="shared" si="0"/>
        <v>0.16494434164925112</v>
      </c>
    </row>
    <row r="6" spans="3:8" x14ac:dyDescent="0.3">
      <c r="C6" s="1" t="s">
        <v>39</v>
      </c>
      <c r="D6" s="2">
        <v>12000</v>
      </c>
      <c r="E6" s="13">
        <v>7.0000000000000007E-2</v>
      </c>
      <c r="F6" s="10">
        <f t="shared" ref="F6:F64" si="2">F5+0.1</f>
        <v>-2.8</v>
      </c>
      <c r="G6" s="3">
        <f t="shared" si="1"/>
        <v>1.1600302028352886E-2</v>
      </c>
      <c r="H6">
        <f t="shared" si="0"/>
        <v>0.21933672227866963</v>
      </c>
    </row>
    <row r="7" spans="3:8" x14ac:dyDescent="0.3">
      <c r="C7" s="1" t="s">
        <v>33</v>
      </c>
      <c r="D7" s="2">
        <v>13000</v>
      </c>
      <c r="E7" s="13">
        <v>7.0000000000000007E-2</v>
      </c>
      <c r="F7" s="10">
        <f t="shared" si="2"/>
        <v>-2.6999999999999997</v>
      </c>
      <c r="G7" s="3">
        <f t="shared" si="1"/>
        <v>1.5209114771037762E-2</v>
      </c>
      <c r="H7">
        <f t="shared" si="0"/>
        <v>0.28876352300478869</v>
      </c>
    </row>
    <row r="8" spans="3:8" x14ac:dyDescent="0.3">
      <c r="C8" s="1" t="s">
        <v>7</v>
      </c>
      <c r="D8" s="2">
        <v>15000</v>
      </c>
      <c r="E8" s="13">
        <v>7.0000000000000007E-2</v>
      </c>
      <c r="F8" s="10">
        <f t="shared" si="2"/>
        <v>-2.5999999999999996</v>
      </c>
      <c r="G8" s="3">
        <f t="shared" si="1"/>
        <v>1.8817927513722639E-2</v>
      </c>
      <c r="H8">
        <f t="shared" si="0"/>
        <v>0.37638332055933121</v>
      </c>
    </row>
    <row r="9" spans="3:8" x14ac:dyDescent="0.3">
      <c r="C9" s="1" t="s">
        <v>16</v>
      </c>
      <c r="D9" s="2">
        <v>10000</v>
      </c>
      <c r="E9" s="13">
        <v>0.08</v>
      </c>
      <c r="F9" s="10">
        <f t="shared" si="2"/>
        <v>-2.4999999999999996</v>
      </c>
      <c r="G9" s="3">
        <f t="shared" si="1"/>
        <v>2.2426740256407514E-2</v>
      </c>
      <c r="H9">
        <f t="shared" si="0"/>
        <v>0.48570822991851526</v>
      </c>
    </row>
    <row r="10" spans="3:8" x14ac:dyDescent="0.3">
      <c r="C10" s="1" t="s">
        <v>13</v>
      </c>
      <c r="D10" s="2">
        <v>10000</v>
      </c>
      <c r="E10" s="13">
        <v>0.08</v>
      </c>
      <c r="F10" s="10">
        <f t="shared" si="2"/>
        <v>-2.3999999999999995</v>
      </c>
      <c r="G10" s="3">
        <f t="shared" si="1"/>
        <v>2.6035552999092389E-2</v>
      </c>
      <c r="H10">
        <f t="shared" si="0"/>
        <v>0.62055118654291397</v>
      </c>
    </row>
    <row r="11" spans="3:8" x14ac:dyDescent="0.3">
      <c r="C11" s="1" t="s">
        <v>41</v>
      </c>
      <c r="D11" s="2">
        <v>10000</v>
      </c>
      <c r="E11" s="13">
        <v>0.08</v>
      </c>
      <c r="F11" s="10">
        <f t="shared" si="2"/>
        <v>-2.2999999999999994</v>
      </c>
      <c r="G11" s="3">
        <f t="shared" si="1"/>
        <v>2.9644365741777264E-2</v>
      </c>
      <c r="H11">
        <f t="shared" si="0"/>
        <v>0.78494063730573249</v>
      </c>
    </row>
    <row r="12" spans="3:8" x14ac:dyDescent="0.3">
      <c r="C12" s="1" t="s">
        <v>16</v>
      </c>
      <c r="D12" s="2">
        <v>10000</v>
      </c>
      <c r="E12" s="13">
        <v>0.08</v>
      </c>
      <c r="F12" s="10">
        <f t="shared" si="2"/>
        <v>-2.1999999999999993</v>
      </c>
      <c r="G12" s="3">
        <f t="shared" si="1"/>
        <v>3.3253178484462138E-2</v>
      </c>
      <c r="H12">
        <f t="shared" si="0"/>
        <v>0.98299899096008814</v>
      </c>
    </row>
    <row r="13" spans="3:8" x14ac:dyDescent="0.3">
      <c r="C13" s="1" t="s">
        <v>13</v>
      </c>
      <c r="D13" s="2">
        <v>10000</v>
      </c>
      <c r="E13" s="13">
        <v>0.08</v>
      </c>
      <c r="F13" s="10">
        <f t="shared" si="2"/>
        <v>-2.0999999999999992</v>
      </c>
      <c r="G13" s="3">
        <f t="shared" si="1"/>
        <v>3.6861991227147013E-2</v>
      </c>
      <c r="H13">
        <f t="shared" si="0"/>
        <v>1.218782993647499</v>
      </c>
    </row>
    <row r="14" spans="3:8" x14ac:dyDescent="0.3">
      <c r="C14" s="1" t="s">
        <v>6</v>
      </c>
      <c r="D14" s="2">
        <v>15000</v>
      </c>
      <c r="E14" s="13">
        <v>8.5000000000000006E-2</v>
      </c>
      <c r="F14" s="10">
        <f t="shared" si="2"/>
        <v>-1.9999999999999991</v>
      </c>
      <c r="G14" s="3">
        <f t="shared" si="1"/>
        <v>4.0470803969831888E-2</v>
      </c>
      <c r="H14">
        <f t="shared" si="0"/>
        <v>1.4960866734531624</v>
      </c>
    </row>
    <row r="15" spans="3:8" x14ac:dyDescent="0.3">
      <c r="C15" s="1" t="s">
        <v>15</v>
      </c>
      <c r="D15" s="2">
        <v>10000</v>
      </c>
      <c r="E15" s="13">
        <v>0.1</v>
      </c>
      <c r="F15" s="10">
        <f t="shared" si="2"/>
        <v>-1.899999999999999</v>
      </c>
      <c r="G15" s="3">
        <f t="shared" si="1"/>
        <v>4.4079616712516763E-2</v>
      </c>
      <c r="H15">
        <f t="shared" si="0"/>
        <v>1.8182105709885028</v>
      </c>
    </row>
    <row r="16" spans="3:8" x14ac:dyDescent="0.3">
      <c r="C16" s="1" t="s">
        <v>15</v>
      </c>
      <c r="D16" s="2">
        <v>10000</v>
      </c>
      <c r="E16" s="13">
        <v>0.1</v>
      </c>
      <c r="F16" s="10">
        <f t="shared" si="2"/>
        <v>-1.7999999999999989</v>
      </c>
      <c r="G16" s="3">
        <f t="shared" si="1"/>
        <v>4.7688429455201638E-2</v>
      </c>
      <c r="H16">
        <f t="shared" si="0"/>
        <v>2.1877044870484723</v>
      </c>
    </row>
    <row r="17" spans="3:14" x14ac:dyDescent="0.3">
      <c r="C17" s="1" t="s">
        <v>44</v>
      </c>
      <c r="D17" s="2">
        <v>12000</v>
      </c>
      <c r="E17" s="13">
        <v>0.1</v>
      </c>
      <c r="F17" s="10">
        <f t="shared" si="2"/>
        <v>-1.6999999999999988</v>
      </c>
      <c r="G17" s="3">
        <f t="shared" si="1"/>
        <v>5.1297242197886513E-2</v>
      </c>
      <c r="H17">
        <f t="shared" si="0"/>
        <v>2.6060946932623725</v>
      </c>
    </row>
    <row r="18" spans="3:14" x14ac:dyDescent="0.3">
      <c r="C18" s="1" t="s">
        <v>38</v>
      </c>
      <c r="D18" s="2">
        <v>12000</v>
      </c>
      <c r="E18" s="13">
        <v>0.1</v>
      </c>
      <c r="F18" s="10">
        <f t="shared" si="2"/>
        <v>-1.5999999999999988</v>
      </c>
      <c r="G18" s="3">
        <f t="shared" si="1"/>
        <v>5.4906054940571387E-2</v>
      </c>
      <c r="H18">
        <f t="shared" si="0"/>
        <v>3.073610147943914</v>
      </c>
    </row>
    <row r="19" spans="3:14" x14ac:dyDescent="0.3">
      <c r="C19" s="1" t="s">
        <v>12</v>
      </c>
      <c r="D19" s="2">
        <v>12000</v>
      </c>
      <c r="E19" s="13">
        <v>0.1</v>
      </c>
      <c r="F19" s="10">
        <f t="shared" si="2"/>
        <v>-1.4999999999999987</v>
      </c>
      <c r="G19" s="3">
        <f t="shared" si="1"/>
        <v>5.8514867683256262E-2</v>
      </c>
      <c r="H19">
        <f t="shared" si="0"/>
        <v>3.5889253585802132</v>
      </c>
    </row>
    <row r="20" spans="3:14" x14ac:dyDescent="0.3">
      <c r="C20" s="1" t="s">
        <v>12</v>
      </c>
      <c r="D20" s="2">
        <v>12000</v>
      </c>
      <c r="E20" s="13">
        <v>0.1</v>
      </c>
      <c r="F20" s="10">
        <f t="shared" si="2"/>
        <v>-1.3999999999999986</v>
      </c>
      <c r="G20" s="3">
        <f t="shared" si="1"/>
        <v>6.2123680425941137E-2</v>
      </c>
      <c r="H20">
        <f t="shared" si="0"/>
        <v>4.1489397292570747</v>
      </c>
      <c r="L20" t="s">
        <v>47</v>
      </c>
      <c r="M20">
        <v>0.11264705882352943</v>
      </c>
      <c r="N20" t="s">
        <v>58</v>
      </c>
    </row>
    <row r="21" spans="3:14" x14ac:dyDescent="0.3">
      <c r="C21" s="1" t="s">
        <v>34</v>
      </c>
      <c r="D21" s="2">
        <v>13000</v>
      </c>
      <c r="E21" s="13">
        <v>0.1</v>
      </c>
      <c r="F21" s="10">
        <f t="shared" si="2"/>
        <v>-1.2999999999999985</v>
      </c>
      <c r="G21" s="3">
        <f t="shared" si="1"/>
        <v>6.5732493168626019E-2</v>
      </c>
      <c r="H21">
        <f t="shared" si="0"/>
        <v>4.7486141361913061</v>
      </c>
      <c r="L21" t="s">
        <v>48</v>
      </c>
      <c r="M21">
        <v>3.6088127426848769E-2</v>
      </c>
    </row>
    <row r="22" spans="3:14" x14ac:dyDescent="0.3">
      <c r="C22" s="1" t="s">
        <v>11</v>
      </c>
      <c r="D22" s="2">
        <v>13300</v>
      </c>
      <c r="E22" s="13">
        <v>0.1</v>
      </c>
      <c r="F22" s="10">
        <f t="shared" si="2"/>
        <v>-1.1999999999999984</v>
      </c>
      <c r="G22" s="3">
        <f t="shared" si="1"/>
        <v>6.9341305911310894E-2</v>
      </c>
      <c r="H22">
        <f t="shared" si="0"/>
        <v>5.3808847626364429</v>
      </c>
    </row>
    <row r="23" spans="3:14" x14ac:dyDescent="0.3">
      <c r="C23" s="1" t="s">
        <v>10</v>
      </c>
      <c r="D23" s="2">
        <v>13300</v>
      </c>
      <c r="E23" s="13">
        <v>0.1</v>
      </c>
      <c r="F23" s="10">
        <f t="shared" si="2"/>
        <v>-1.0999999999999983</v>
      </c>
      <c r="G23" s="3">
        <f t="shared" si="1"/>
        <v>7.2950118653995769E-2</v>
      </c>
      <c r="H23">
        <f t="shared" si="0"/>
        <v>6.0366716858374092</v>
      </c>
    </row>
    <row r="24" spans="3:14" x14ac:dyDescent="0.3">
      <c r="C24" s="1" t="s">
        <v>9</v>
      </c>
      <c r="D24" s="2">
        <v>13300</v>
      </c>
      <c r="E24" s="13">
        <v>0.1</v>
      </c>
      <c r="F24" s="10">
        <f t="shared" si="2"/>
        <v>-0.99999999999999833</v>
      </c>
      <c r="G24" s="3">
        <f t="shared" si="1"/>
        <v>7.6558931396680643E-2</v>
      </c>
      <c r="H24">
        <f t="shared" si="0"/>
        <v>6.7049952926934724</v>
      </c>
    </row>
    <row r="25" spans="3:14" x14ac:dyDescent="0.3">
      <c r="C25" s="1" t="s">
        <v>27</v>
      </c>
      <c r="D25" s="2">
        <v>15000</v>
      </c>
      <c r="E25" s="13">
        <v>0.1</v>
      </c>
      <c r="F25" s="10">
        <f t="shared" si="2"/>
        <v>-0.89999999999999836</v>
      </c>
      <c r="G25" s="3">
        <f t="shared" si="1"/>
        <v>8.0167744139365518E-2</v>
      </c>
      <c r="H25">
        <f t="shared" si="0"/>
        <v>7.3732074471892135</v>
      </c>
    </row>
    <row r="26" spans="3:14" x14ac:dyDescent="0.3">
      <c r="C26" s="1" t="s">
        <v>27</v>
      </c>
      <c r="D26" s="2">
        <v>15000</v>
      </c>
      <c r="E26" s="13">
        <v>0.1</v>
      </c>
      <c r="F26" s="10">
        <f t="shared" si="2"/>
        <v>-0.79999999999999838</v>
      </c>
      <c r="G26" s="3">
        <f t="shared" si="1"/>
        <v>8.3776556882050393E-2</v>
      </c>
      <c r="H26">
        <f t="shared" si="0"/>
        <v>8.02733678406263</v>
      </c>
    </row>
    <row r="27" spans="3:14" x14ac:dyDescent="0.3">
      <c r="C27" s="1" t="s">
        <v>30</v>
      </c>
      <c r="D27" s="2">
        <v>15000</v>
      </c>
      <c r="E27" s="13">
        <v>0.1</v>
      </c>
      <c r="F27" s="10">
        <f t="shared" si="2"/>
        <v>-0.6999999999999984</v>
      </c>
      <c r="G27" s="3">
        <f t="shared" si="1"/>
        <v>8.7385369624735268E-2</v>
      </c>
      <c r="H27">
        <f t="shared" si="0"/>
        <v>8.6525390933543171</v>
      </c>
    </row>
    <row r="28" spans="3:14" x14ac:dyDescent="0.3">
      <c r="C28" s="1" t="s">
        <v>29</v>
      </c>
      <c r="D28" s="2">
        <v>15000</v>
      </c>
      <c r="E28" s="13">
        <v>0.1</v>
      </c>
      <c r="F28" s="10">
        <f t="shared" si="2"/>
        <v>-0.59999999999999842</v>
      </c>
      <c r="G28" s="3">
        <f t="shared" si="1"/>
        <v>9.0994182367420143E-2</v>
      </c>
      <c r="H28">
        <f t="shared" si="0"/>
        <v>9.2336351773100809</v>
      </c>
    </row>
    <row r="29" spans="3:14" x14ac:dyDescent="0.3">
      <c r="C29" s="1" t="s">
        <v>27</v>
      </c>
      <c r="D29" s="2">
        <v>15000</v>
      </c>
      <c r="E29" s="13">
        <v>0.1</v>
      </c>
      <c r="F29" s="10">
        <f t="shared" si="2"/>
        <v>-0.49999999999999845</v>
      </c>
      <c r="G29" s="3">
        <f t="shared" si="1"/>
        <v>9.4602995110105018E-2</v>
      </c>
      <c r="H29">
        <f t="shared" si="0"/>
        <v>9.7557105859244597</v>
      </c>
    </row>
    <row r="30" spans="3:14" x14ac:dyDescent="0.3">
      <c r="C30" s="1" t="s">
        <v>27</v>
      </c>
      <c r="D30" s="2">
        <v>15000</v>
      </c>
      <c r="E30" s="13">
        <v>0.1</v>
      </c>
      <c r="F30" s="10">
        <f t="shared" si="2"/>
        <v>-0.39999999999999847</v>
      </c>
      <c r="G30" s="3">
        <f t="shared" si="1"/>
        <v>9.8211807852789892E-2</v>
      </c>
      <c r="H30">
        <f t="shared" si="0"/>
        <v>10.204745066083378</v>
      </c>
    </row>
    <row r="31" spans="3:14" x14ac:dyDescent="0.3">
      <c r="C31" s="1" t="s">
        <v>8</v>
      </c>
      <c r="D31" s="2">
        <v>14000</v>
      </c>
      <c r="E31" s="13">
        <v>0.105</v>
      </c>
      <c r="F31" s="10">
        <f t="shared" si="2"/>
        <v>-0.29999999999999849</v>
      </c>
      <c r="G31" s="3">
        <f t="shared" si="1"/>
        <v>0.10182062059547477</v>
      </c>
      <c r="H31">
        <f t="shared" si="0"/>
        <v>10.56823511371166</v>
      </c>
    </row>
    <row r="32" spans="3:14" x14ac:dyDescent="0.3">
      <c r="C32" s="1" t="s">
        <v>40</v>
      </c>
      <c r="D32" s="2">
        <v>10000</v>
      </c>
      <c r="E32" s="13">
        <v>0.11</v>
      </c>
      <c r="F32" s="10">
        <f t="shared" si="2"/>
        <v>-0.19999999999999848</v>
      </c>
      <c r="G32" s="3">
        <f t="shared" si="1"/>
        <v>0.10542943333815964</v>
      </c>
      <c r="H32">
        <f t="shared" si="0"/>
        <v>10.835771259345773</v>
      </c>
    </row>
    <row r="33" spans="3:8" x14ac:dyDescent="0.3">
      <c r="C33" s="1" t="s">
        <v>40</v>
      </c>
      <c r="D33" s="2">
        <v>10000</v>
      </c>
      <c r="E33" s="13">
        <v>0.11</v>
      </c>
      <c r="F33" s="10">
        <f t="shared" si="2"/>
        <v>-9.9999999999998479E-2</v>
      </c>
      <c r="G33" s="3">
        <f t="shared" si="1"/>
        <v>0.10903824608084452</v>
      </c>
      <c r="H33">
        <f t="shared" si="0"/>
        <v>10.999532970549417</v>
      </c>
    </row>
    <row r="34" spans="3:8" x14ac:dyDescent="0.3">
      <c r="C34" s="1" t="s">
        <v>31</v>
      </c>
      <c r="D34" s="2">
        <v>15000</v>
      </c>
      <c r="E34" s="13">
        <v>0.11</v>
      </c>
      <c r="F34" s="10">
        <f t="shared" si="2"/>
        <v>1.5265566588595902E-15</v>
      </c>
      <c r="G34" s="3">
        <f t="shared" si="1"/>
        <v>0.11264705882352939</v>
      </c>
      <c r="H34">
        <f t="shared" si="0"/>
        <v>11.054668359007968</v>
      </c>
    </row>
    <row r="35" spans="3:8" x14ac:dyDescent="0.3">
      <c r="C35" s="1" t="s">
        <v>14</v>
      </c>
      <c r="D35" s="2">
        <v>10000</v>
      </c>
      <c r="E35" s="13">
        <v>0.12</v>
      </c>
      <c r="F35" s="10">
        <f t="shared" si="2"/>
        <v>0.10000000000000153</v>
      </c>
      <c r="G35" s="3">
        <f t="shared" si="1"/>
        <v>0.11625587156621427</v>
      </c>
      <c r="H35">
        <f t="shared" si="0"/>
        <v>10.999532970549419</v>
      </c>
    </row>
    <row r="36" spans="3:8" x14ac:dyDescent="0.3">
      <c r="C36" s="1" t="s">
        <v>35</v>
      </c>
      <c r="D36" s="2">
        <v>12000</v>
      </c>
      <c r="E36" s="13">
        <v>0.12</v>
      </c>
      <c r="F36" s="10">
        <f t="shared" si="2"/>
        <v>0.20000000000000154</v>
      </c>
      <c r="G36" s="3">
        <f t="shared" si="1"/>
        <v>0.11986468430889914</v>
      </c>
      <c r="H36">
        <f t="shared" ref="H36:H67" si="3">_xlfn.NORM.DIST(G36:G96,MOYENNE02,Ecart_type02,FALSE)</f>
        <v>10.83577125934578</v>
      </c>
    </row>
    <row r="37" spans="3:8" x14ac:dyDescent="0.3">
      <c r="C37" s="1" t="s">
        <v>27</v>
      </c>
      <c r="D37" s="2">
        <v>12000</v>
      </c>
      <c r="E37" s="13">
        <v>0.12</v>
      </c>
      <c r="F37" s="10">
        <f t="shared" si="2"/>
        <v>0.30000000000000154</v>
      </c>
      <c r="G37" s="3">
        <f t="shared" ref="G37:G64" si="4">G36+distribution02</f>
        <v>0.12347349705158402</v>
      </c>
      <c r="H37">
        <f t="shared" si="3"/>
        <v>10.568235113711669</v>
      </c>
    </row>
    <row r="38" spans="3:8" x14ac:dyDescent="0.3">
      <c r="C38" s="1" t="s">
        <v>27</v>
      </c>
      <c r="D38" s="2">
        <v>12000</v>
      </c>
      <c r="E38" s="13">
        <v>0.12</v>
      </c>
      <c r="F38" s="10">
        <f t="shared" si="2"/>
        <v>0.40000000000000158</v>
      </c>
      <c r="G38" s="3">
        <f t="shared" si="4"/>
        <v>0.12708230979426891</v>
      </c>
      <c r="H38">
        <f t="shared" si="3"/>
        <v>10.204745066083385</v>
      </c>
    </row>
    <row r="39" spans="3:8" x14ac:dyDescent="0.3">
      <c r="C39" s="1" t="s">
        <v>27</v>
      </c>
      <c r="D39" s="2">
        <v>12000</v>
      </c>
      <c r="E39" s="13">
        <v>0.12</v>
      </c>
      <c r="F39" s="10">
        <f t="shared" si="2"/>
        <v>0.50000000000000155</v>
      </c>
      <c r="G39" s="3">
        <f t="shared" si="4"/>
        <v>0.13069112253695378</v>
      </c>
      <c r="H39">
        <f t="shared" si="3"/>
        <v>9.7557105859244686</v>
      </c>
    </row>
    <row r="40" spans="3:8" x14ac:dyDescent="0.3">
      <c r="C40" s="1" t="s">
        <v>27</v>
      </c>
      <c r="D40" s="2">
        <v>12000</v>
      </c>
      <c r="E40" s="13">
        <v>0.12</v>
      </c>
      <c r="F40" s="10">
        <f t="shared" si="2"/>
        <v>0.60000000000000153</v>
      </c>
      <c r="G40" s="3">
        <f t="shared" si="4"/>
        <v>0.13429993527963865</v>
      </c>
      <c r="H40">
        <f t="shared" si="3"/>
        <v>9.2336351773100898</v>
      </c>
    </row>
    <row r="41" spans="3:8" x14ac:dyDescent="0.3">
      <c r="C41" s="1" t="s">
        <v>35</v>
      </c>
      <c r="D41" s="2">
        <v>12000</v>
      </c>
      <c r="E41" s="13">
        <v>0.12</v>
      </c>
      <c r="F41" s="10">
        <f t="shared" si="2"/>
        <v>0.70000000000000151</v>
      </c>
      <c r="G41" s="3">
        <f t="shared" si="4"/>
        <v>0.13790874802232353</v>
      </c>
      <c r="H41">
        <f t="shared" si="3"/>
        <v>8.6525390933543296</v>
      </c>
    </row>
    <row r="42" spans="3:8" x14ac:dyDescent="0.3">
      <c r="C42" s="1" t="s">
        <v>27</v>
      </c>
      <c r="D42" s="2">
        <v>12000</v>
      </c>
      <c r="E42" s="13">
        <v>0.12</v>
      </c>
      <c r="F42" s="10">
        <f t="shared" si="2"/>
        <v>0.80000000000000149</v>
      </c>
      <c r="G42" s="3">
        <f t="shared" si="4"/>
        <v>0.1415175607650084</v>
      </c>
      <c r="H42">
        <f t="shared" si="3"/>
        <v>8.0273367840626424</v>
      </c>
    </row>
    <row r="43" spans="3:8" x14ac:dyDescent="0.3">
      <c r="C43" s="1" t="s">
        <v>27</v>
      </c>
      <c r="D43" s="2">
        <v>15000</v>
      </c>
      <c r="E43" s="13">
        <v>0.12</v>
      </c>
      <c r="F43" s="10">
        <f t="shared" si="2"/>
        <v>0.90000000000000147</v>
      </c>
      <c r="G43" s="3">
        <f t="shared" si="4"/>
        <v>0.14512637350769328</v>
      </c>
      <c r="H43">
        <f t="shared" si="3"/>
        <v>7.3732074471892268</v>
      </c>
    </row>
    <row r="44" spans="3:8" x14ac:dyDescent="0.3">
      <c r="C44" s="1" t="s">
        <v>18</v>
      </c>
      <c r="D44" s="2">
        <v>15000</v>
      </c>
      <c r="E44" s="13">
        <v>0.12</v>
      </c>
      <c r="F44" s="10">
        <f t="shared" si="2"/>
        <v>1.0000000000000016</v>
      </c>
      <c r="G44" s="3">
        <f t="shared" si="4"/>
        <v>0.14873518625037815</v>
      </c>
      <c r="H44">
        <f t="shared" si="3"/>
        <v>6.7049952926934848</v>
      </c>
    </row>
    <row r="45" spans="3:8" x14ac:dyDescent="0.3">
      <c r="C45" s="1" t="s">
        <v>28</v>
      </c>
      <c r="D45" s="2">
        <v>15000</v>
      </c>
      <c r="E45" s="13">
        <v>0.13500000000000001</v>
      </c>
      <c r="F45" s="10">
        <f t="shared" si="2"/>
        <v>1.1000000000000016</v>
      </c>
      <c r="G45" s="3">
        <f t="shared" si="4"/>
        <v>0.15234399899306303</v>
      </c>
      <c r="H45">
        <f t="shared" si="3"/>
        <v>6.0366716858374234</v>
      </c>
    </row>
    <row r="46" spans="3:8" x14ac:dyDescent="0.3">
      <c r="C46" s="1" t="s">
        <v>5</v>
      </c>
      <c r="D46" s="2">
        <v>15000</v>
      </c>
      <c r="E46" s="13">
        <v>0.13500000000000001</v>
      </c>
      <c r="F46" s="10">
        <f t="shared" si="2"/>
        <v>1.2000000000000017</v>
      </c>
      <c r="G46" s="3">
        <f t="shared" si="4"/>
        <v>0.1559528117357479</v>
      </c>
      <c r="H46">
        <f t="shared" si="3"/>
        <v>5.3808847626364553</v>
      </c>
    </row>
    <row r="47" spans="3:8" x14ac:dyDescent="0.3">
      <c r="C47" s="1" t="s">
        <v>4</v>
      </c>
      <c r="D47" s="2">
        <v>15000</v>
      </c>
      <c r="E47" s="13">
        <v>0.13500000000000001</v>
      </c>
      <c r="F47" s="10">
        <f t="shared" si="2"/>
        <v>1.3000000000000018</v>
      </c>
      <c r="G47" s="3">
        <f t="shared" si="4"/>
        <v>0.15956162447843278</v>
      </c>
      <c r="H47">
        <f t="shared" si="3"/>
        <v>4.7486141361913186</v>
      </c>
    </row>
    <row r="48" spans="3:8" x14ac:dyDescent="0.3">
      <c r="C48" s="1" t="s">
        <v>36</v>
      </c>
      <c r="D48" s="2">
        <v>12000</v>
      </c>
      <c r="E48" s="13">
        <v>0.14499999999999999</v>
      </c>
      <c r="F48" s="10">
        <f t="shared" si="2"/>
        <v>1.4000000000000019</v>
      </c>
      <c r="G48" s="3">
        <f t="shared" si="4"/>
        <v>0.16317043722111765</v>
      </c>
      <c r="H48">
        <f t="shared" si="3"/>
        <v>4.148939729257088</v>
      </c>
    </row>
    <row r="49" spans="3:8" x14ac:dyDescent="0.3">
      <c r="C49" s="1" t="s">
        <v>37</v>
      </c>
      <c r="D49" s="2">
        <v>12000</v>
      </c>
      <c r="E49" s="13">
        <v>0.16</v>
      </c>
      <c r="F49" s="10">
        <f t="shared" si="2"/>
        <v>1.500000000000002</v>
      </c>
      <c r="G49" s="3">
        <f t="shared" si="4"/>
        <v>0.16677924996380253</v>
      </c>
      <c r="H49">
        <f t="shared" si="3"/>
        <v>3.5889253585802239</v>
      </c>
    </row>
    <row r="50" spans="3:8" x14ac:dyDescent="0.3">
      <c r="C50" s="1" t="s">
        <v>25</v>
      </c>
      <c r="D50" s="2">
        <v>15000</v>
      </c>
      <c r="E50" s="13">
        <v>0.17499999999999999</v>
      </c>
      <c r="F50" s="10">
        <f t="shared" si="2"/>
        <v>1.6000000000000021</v>
      </c>
      <c r="G50" s="3">
        <f t="shared" si="4"/>
        <v>0.1703880627064874</v>
      </c>
      <c r="H50">
        <f t="shared" si="3"/>
        <v>3.0736101479439246</v>
      </c>
    </row>
    <row r="51" spans="3:8" x14ac:dyDescent="0.3">
      <c r="C51" s="1" t="s">
        <v>25</v>
      </c>
      <c r="D51" s="2">
        <v>12000</v>
      </c>
      <c r="E51" s="13">
        <v>0.19</v>
      </c>
      <c r="F51" s="10">
        <f t="shared" si="2"/>
        <v>1.7000000000000022</v>
      </c>
      <c r="G51" s="3">
        <f t="shared" si="4"/>
        <v>0.17399687544917228</v>
      </c>
      <c r="H51">
        <f t="shared" si="3"/>
        <v>2.6060946932623823</v>
      </c>
    </row>
    <row r="52" spans="3:8" x14ac:dyDescent="0.3">
      <c r="C52" s="1" t="s">
        <v>25</v>
      </c>
      <c r="D52" s="2">
        <v>14000</v>
      </c>
      <c r="E52" s="13">
        <v>0.19</v>
      </c>
      <c r="F52" s="10">
        <f t="shared" si="2"/>
        <v>1.8000000000000023</v>
      </c>
      <c r="G52" s="3">
        <f t="shared" si="4"/>
        <v>0.17760568819185715</v>
      </c>
      <c r="H52">
        <f t="shared" si="3"/>
        <v>2.1877044870484812</v>
      </c>
    </row>
    <row r="53" spans="3:8" x14ac:dyDescent="0.3">
      <c r="C53" s="1" t="s">
        <v>25</v>
      </c>
      <c r="D53" s="2">
        <v>14000</v>
      </c>
      <c r="E53" s="13">
        <v>0.22</v>
      </c>
      <c r="F53" s="10">
        <f t="shared" si="2"/>
        <v>1.9000000000000024</v>
      </c>
      <c r="G53" s="3">
        <f t="shared" si="4"/>
        <v>0.18121450093454203</v>
      </c>
      <c r="H53">
        <f t="shared" si="3"/>
        <v>1.8182105709885106</v>
      </c>
    </row>
    <row r="54" spans="3:8" x14ac:dyDescent="0.3">
      <c r="C54" s="1" t="s">
        <v>32</v>
      </c>
      <c r="D54" s="2">
        <v>15000</v>
      </c>
      <c r="E54" s="13">
        <v>0.22</v>
      </c>
      <c r="F54" s="10">
        <f t="shared" si="2"/>
        <v>2.0000000000000022</v>
      </c>
      <c r="G54" s="3">
        <f t="shared" si="4"/>
        <v>0.1848233136772269</v>
      </c>
      <c r="H54">
        <f t="shared" si="3"/>
        <v>1.4960866734531697</v>
      </c>
    </row>
    <row r="55" spans="3:8" x14ac:dyDescent="0.3">
      <c r="D55" t="s">
        <v>47</v>
      </c>
      <c r="E55" s="4">
        <f>AVERAGE(E4:E54)</f>
        <v>0.11264705882352943</v>
      </c>
      <c r="F55" s="10">
        <f t="shared" si="2"/>
        <v>2.1000000000000023</v>
      </c>
      <c r="G55" s="3">
        <f t="shared" si="4"/>
        <v>0.18843212641991178</v>
      </c>
      <c r="H55">
        <f t="shared" si="3"/>
        <v>1.2187829936475052</v>
      </c>
    </row>
    <row r="56" spans="3:8" x14ac:dyDescent="0.3">
      <c r="D56" t="s">
        <v>48</v>
      </c>
      <c r="E56">
        <f>_xlfn.STDEV.S(E4:E54)</f>
        <v>3.6088127426848769E-2</v>
      </c>
      <c r="F56" s="10">
        <f t="shared" si="2"/>
        <v>2.2000000000000024</v>
      </c>
      <c r="G56" s="3">
        <f t="shared" si="4"/>
        <v>0.19204093916259665</v>
      </c>
      <c r="H56">
        <f t="shared" si="3"/>
        <v>0.98299899096009291</v>
      </c>
    </row>
    <row r="57" spans="3:8" x14ac:dyDescent="0.3">
      <c r="F57" s="10">
        <f t="shared" si="2"/>
        <v>2.3000000000000025</v>
      </c>
      <c r="G57" s="3">
        <f t="shared" si="4"/>
        <v>0.19564975190528153</v>
      </c>
      <c r="H57">
        <f t="shared" si="3"/>
        <v>0.78494063730573638</v>
      </c>
    </row>
    <row r="58" spans="3:8" x14ac:dyDescent="0.3">
      <c r="D58">
        <v>-3</v>
      </c>
      <c r="E58" s="9">
        <f>MOYENNE02-3*(Ecart_type02)</f>
        <v>4.3826765429831327E-3</v>
      </c>
      <c r="F58" s="10">
        <f t="shared" si="2"/>
        <v>2.4000000000000026</v>
      </c>
      <c r="G58" s="3">
        <f t="shared" si="4"/>
        <v>0.1992585646479664</v>
      </c>
      <c r="H58">
        <f t="shared" si="3"/>
        <v>0.62055118654291774</v>
      </c>
    </row>
    <row r="59" spans="3:8" x14ac:dyDescent="0.3">
      <c r="D59">
        <v>3</v>
      </c>
      <c r="E59" s="9">
        <f>MOYENNE02+(3*Ecart_type02)</f>
        <v>0.22091144110407573</v>
      </c>
      <c r="F59" s="10">
        <f t="shared" si="2"/>
        <v>2.5000000000000027</v>
      </c>
      <c r="G59" s="3">
        <f t="shared" si="4"/>
        <v>0.20286737739065128</v>
      </c>
      <c r="H59">
        <f t="shared" si="3"/>
        <v>0.48570822991851786</v>
      </c>
    </row>
    <row r="60" spans="3:8" x14ac:dyDescent="0.3">
      <c r="F60" s="10">
        <f t="shared" si="2"/>
        <v>2.6000000000000028</v>
      </c>
      <c r="G60" s="3">
        <f t="shared" si="4"/>
        <v>0.20647619013333615</v>
      </c>
      <c r="H60">
        <f t="shared" si="3"/>
        <v>0.37638332055933338</v>
      </c>
    </row>
    <row r="61" spans="3:8" x14ac:dyDescent="0.3">
      <c r="F61" s="10">
        <f t="shared" si="2"/>
        <v>2.7000000000000028</v>
      </c>
      <c r="G61" s="3">
        <f t="shared" si="4"/>
        <v>0.21008500287602103</v>
      </c>
      <c r="H61">
        <f t="shared" si="3"/>
        <v>0.28876352300479075</v>
      </c>
    </row>
    <row r="62" spans="3:8" x14ac:dyDescent="0.3">
      <c r="F62" s="10">
        <f t="shared" si="2"/>
        <v>2.8000000000000029</v>
      </c>
      <c r="G62" s="3">
        <f t="shared" si="4"/>
        <v>0.2136938156187059</v>
      </c>
      <c r="H62">
        <f t="shared" si="3"/>
        <v>0.21933672227867096</v>
      </c>
    </row>
    <row r="63" spans="3:8" x14ac:dyDescent="0.3">
      <c r="F63" s="10">
        <f t="shared" si="2"/>
        <v>2.900000000000003</v>
      </c>
      <c r="G63" s="3">
        <f t="shared" si="4"/>
        <v>0.21730262836139078</v>
      </c>
      <c r="H63">
        <f t="shared" si="3"/>
        <v>0.16494434164925231</v>
      </c>
    </row>
    <row r="64" spans="3:8" x14ac:dyDescent="0.3">
      <c r="F64" s="10">
        <f t="shared" si="2"/>
        <v>3.0000000000000031</v>
      </c>
      <c r="G64" s="3">
        <f t="shared" si="4"/>
        <v>0.22091144110407565</v>
      </c>
      <c r="H64">
        <f t="shared" si="3"/>
        <v>0.12280627253163724</v>
      </c>
    </row>
    <row r="66" spans="4:5" x14ac:dyDescent="0.3">
      <c r="D66" s="12" t="s">
        <v>54</v>
      </c>
      <c r="E66">
        <f>MOYENNE02+((Ecart_type02*3))</f>
        <v>0.22091144110407573</v>
      </c>
    </row>
    <row r="67" spans="4:5" x14ac:dyDescent="0.3">
      <c r="D67" s="12" t="s">
        <v>55</v>
      </c>
      <c r="E67">
        <f>MOYENNE02-((Ecart_type02*3))</f>
        <v>4.3826765429831327E-3</v>
      </c>
    </row>
    <row r="68" spans="4:5" ht="43.2" x14ac:dyDescent="0.3">
      <c r="D68" s="11" t="s">
        <v>53</v>
      </c>
      <c r="E68">
        <f>E66-E67</f>
        <v>0.2165287645610926</v>
      </c>
    </row>
    <row r="69" spans="4:5" ht="28.8" x14ac:dyDescent="0.3">
      <c r="D69" s="11" t="s">
        <v>56</v>
      </c>
      <c r="E69">
        <f>E68/60</f>
        <v>3.6088127426848766E-3</v>
      </c>
    </row>
  </sheetData>
  <sortState xmlns:xlrd2="http://schemas.microsoft.com/office/spreadsheetml/2017/richdata2" ref="C4:E54">
    <sortCondition ref="E4:E54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47E2-8B81-4DFC-B45B-063551C67948}">
  <dimension ref="C2:O69"/>
  <sheetViews>
    <sheetView tabSelected="1" topLeftCell="B25" workbookViewId="0">
      <selection activeCell="K58" sqref="K58"/>
    </sheetView>
  </sheetViews>
  <sheetFormatPr baseColWidth="10" defaultRowHeight="14.4" x14ac:dyDescent="0.3"/>
  <cols>
    <col min="3" max="3" width="36.5546875" customWidth="1"/>
    <col min="6" max="6" width="26.33203125" customWidth="1"/>
    <col min="7" max="7" width="22.44140625" customWidth="1"/>
    <col min="8" max="8" width="21.88671875" customWidth="1"/>
    <col min="9" max="9" width="4.5546875" customWidth="1"/>
    <col min="10" max="10" width="13.5546875" customWidth="1"/>
    <col min="11" max="11" width="19.109375" customWidth="1"/>
  </cols>
  <sheetData>
    <row r="2" spans="3:8" x14ac:dyDescent="0.3">
      <c r="G2" s="3"/>
      <c r="H2" s="21" t="s">
        <v>60</v>
      </c>
    </row>
    <row r="3" spans="3:8" x14ac:dyDescent="0.3">
      <c r="D3" s="3" t="s">
        <v>46</v>
      </c>
      <c r="E3" s="3" t="s">
        <v>45</v>
      </c>
      <c r="F3" s="3" t="s">
        <v>51</v>
      </c>
      <c r="G3" s="3" t="s">
        <v>57</v>
      </c>
      <c r="H3" s="3" t="s">
        <v>52</v>
      </c>
    </row>
    <row r="4" spans="3:8" x14ac:dyDescent="0.3">
      <c r="C4" s="1" t="s">
        <v>43</v>
      </c>
      <c r="D4" s="2">
        <v>14000</v>
      </c>
      <c r="E4" s="13">
        <v>0.05</v>
      </c>
      <c r="F4" s="10">
        <v>-3</v>
      </c>
      <c r="G4" s="8">
        <f>E58</f>
        <v>4.3826765429831327E-3</v>
      </c>
      <c r="H4">
        <f>_xlfn.NORM.DIST(G4:G64,MOYENNE02,Ecart_type02,FALSE)</f>
        <v>0.12280627253163627</v>
      </c>
    </row>
    <row r="5" spans="3:8" x14ac:dyDescent="0.3">
      <c r="C5" s="1" t="s">
        <v>8</v>
      </c>
      <c r="D5" s="2">
        <v>14000</v>
      </c>
      <c r="E5" s="13">
        <v>0.06</v>
      </c>
      <c r="F5" s="10">
        <f>F4+0.1</f>
        <v>-2.9</v>
      </c>
      <c r="G5" s="3">
        <f>G4+distribution02</f>
        <v>7.9914892856680093E-3</v>
      </c>
      <c r="H5">
        <f>_xlfn.NORM.DIST(G5:G65,MOYENNE02,Ecart_type02,FALSE)</f>
        <v>0.16494434164925112</v>
      </c>
    </row>
    <row r="6" spans="3:8" x14ac:dyDescent="0.3">
      <c r="C6" s="1" t="s">
        <v>39</v>
      </c>
      <c r="D6" s="2">
        <v>12000</v>
      </c>
      <c r="E6" s="13">
        <v>7.0000000000000007E-2</v>
      </c>
      <c r="F6" s="10">
        <f>F5+0.1</f>
        <v>-2.8</v>
      </c>
      <c r="G6" s="3">
        <f>G5+distribution02</f>
        <v>1.1600302028352886E-2</v>
      </c>
      <c r="H6">
        <f>_xlfn.NORM.DIST(G6:G66,MOYENNE02,Ecart_type02,FALSE)</f>
        <v>0.21933672227866963</v>
      </c>
    </row>
    <row r="7" spans="3:8" x14ac:dyDescent="0.3">
      <c r="C7" s="1" t="s">
        <v>33</v>
      </c>
      <c r="D7" s="2">
        <v>13000</v>
      </c>
      <c r="E7" s="13">
        <v>7.0000000000000007E-2</v>
      </c>
      <c r="F7" s="10">
        <f>F6+0.1</f>
        <v>-2.6999999999999997</v>
      </c>
      <c r="G7" s="3">
        <f>G6+distribution02</f>
        <v>1.5209114771037762E-2</v>
      </c>
      <c r="H7">
        <f>_xlfn.NORM.DIST(G7:G67,MOYENNE02,Ecart_type02,FALSE)</f>
        <v>0.28876352300478869</v>
      </c>
    </row>
    <row r="8" spans="3:8" x14ac:dyDescent="0.3">
      <c r="C8" s="1" t="s">
        <v>7</v>
      </c>
      <c r="D8" s="17">
        <v>15000</v>
      </c>
      <c r="E8" s="13">
        <v>7.0000000000000007E-2</v>
      </c>
      <c r="F8" s="10">
        <f>F7+0.1</f>
        <v>-2.5999999999999996</v>
      </c>
      <c r="G8" s="3">
        <f>G7+distribution02</f>
        <v>1.8817927513722639E-2</v>
      </c>
      <c r="H8">
        <f>_xlfn.NORM.DIST(G8:G68,MOYENNE02,Ecart_type02,FALSE)</f>
        <v>0.37638332055933121</v>
      </c>
    </row>
    <row r="9" spans="3:8" x14ac:dyDescent="0.3">
      <c r="C9" s="1" t="s">
        <v>16</v>
      </c>
      <c r="D9" s="2">
        <v>10000</v>
      </c>
      <c r="E9" s="13">
        <v>0.08</v>
      </c>
      <c r="F9" s="10">
        <f>F8+0.1</f>
        <v>-2.4999999999999996</v>
      </c>
      <c r="G9" s="3">
        <f>G8+distribution02</f>
        <v>2.2426740256407514E-2</v>
      </c>
      <c r="H9">
        <f>_xlfn.NORM.DIST(G9:G69,MOYENNE02,Ecart_type02,FALSE)</f>
        <v>0.48570822991851526</v>
      </c>
    </row>
    <row r="10" spans="3:8" x14ac:dyDescent="0.3">
      <c r="C10" s="1" t="s">
        <v>13</v>
      </c>
      <c r="D10" s="2">
        <v>10000</v>
      </c>
      <c r="E10" s="13">
        <v>0.08</v>
      </c>
      <c r="F10" s="10">
        <f>F9+0.1</f>
        <v>-2.3999999999999995</v>
      </c>
      <c r="G10" s="3">
        <f>G9+distribution02</f>
        <v>2.6035552999092389E-2</v>
      </c>
      <c r="H10">
        <f>_xlfn.NORM.DIST(G10:G70,MOYENNE02,Ecart_type02,FALSE)</f>
        <v>0.62055118654291397</v>
      </c>
    </row>
    <row r="11" spans="3:8" x14ac:dyDescent="0.3">
      <c r="C11" s="1" t="s">
        <v>41</v>
      </c>
      <c r="D11" s="2">
        <v>10000</v>
      </c>
      <c r="E11" s="13">
        <v>0.08</v>
      </c>
      <c r="F11" s="10">
        <f>F10+0.1</f>
        <v>-2.2999999999999994</v>
      </c>
      <c r="G11" s="3">
        <f>G10+distribution02</f>
        <v>2.9644365741777264E-2</v>
      </c>
      <c r="H11">
        <f>_xlfn.NORM.DIST(G11:G71,MOYENNE02,Ecart_type02,FALSE)</f>
        <v>0.78494063730573249</v>
      </c>
    </row>
    <row r="12" spans="3:8" x14ac:dyDescent="0.3">
      <c r="C12" s="1" t="s">
        <v>16</v>
      </c>
      <c r="D12" s="2">
        <v>10000</v>
      </c>
      <c r="E12" s="13">
        <v>0.08</v>
      </c>
      <c r="F12" s="10">
        <f>F11+0.1</f>
        <v>-2.1999999999999993</v>
      </c>
      <c r="G12" s="3">
        <f>G11+distribution02</f>
        <v>3.3253178484462138E-2</v>
      </c>
      <c r="H12">
        <f>_xlfn.NORM.DIST(G12:G72,MOYENNE02,Ecart_type02,FALSE)</f>
        <v>0.98299899096008814</v>
      </c>
    </row>
    <row r="13" spans="3:8" x14ac:dyDescent="0.3">
      <c r="C13" s="1" t="s">
        <v>13</v>
      </c>
      <c r="D13" s="2">
        <v>10000</v>
      </c>
      <c r="E13" s="13">
        <v>0.08</v>
      </c>
      <c r="F13" s="10">
        <f>F12+0.1</f>
        <v>-2.0999999999999992</v>
      </c>
      <c r="G13" s="3">
        <f>G12+distribution02</f>
        <v>3.6861991227147013E-2</v>
      </c>
      <c r="H13">
        <f>_xlfn.NORM.DIST(G13:G73,MOYENNE02,Ecart_type02,FALSE)</f>
        <v>1.218782993647499</v>
      </c>
    </row>
    <row r="14" spans="3:8" x14ac:dyDescent="0.3">
      <c r="C14" s="1" t="s">
        <v>6</v>
      </c>
      <c r="D14" s="17">
        <v>15000</v>
      </c>
      <c r="E14" s="13">
        <v>8.5000000000000006E-2</v>
      </c>
      <c r="F14" s="20">
        <f>F13+0.1</f>
        <v>-1.9999999999999991</v>
      </c>
      <c r="G14" s="19">
        <f>G13+distribution02</f>
        <v>4.0470803969831888E-2</v>
      </c>
      <c r="H14" s="18">
        <f>_xlfn.NORM.DIST(G14:G74,MOYENNE02,Ecart_type02,FALSE)</f>
        <v>1.4960866734531624</v>
      </c>
    </row>
    <row r="15" spans="3:8" x14ac:dyDescent="0.3">
      <c r="C15" s="1" t="s">
        <v>15</v>
      </c>
      <c r="D15" s="2">
        <v>10000</v>
      </c>
      <c r="E15" s="13">
        <v>0.1</v>
      </c>
      <c r="F15" s="10">
        <f>F14+0.1</f>
        <v>-1.899999999999999</v>
      </c>
      <c r="G15" s="3">
        <f>G14+distribution02</f>
        <v>4.4079616712516763E-2</v>
      </c>
      <c r="H15">
        <f>_xlfn.NORM.DIST(G15:G75,MOYENNE02,Ecart_type02,FALSE)</f>
        <v>1.8182105709885028</v>
      </c>
    </row>
    <row r="16" spans="3:8" x14ac:dyDescent="0.3">
      <c r="C16" s="1" t="s">
        <v>15</v>
      </c>
      <c r="D16" s="2">
        <v>10000</v>
      </c>
      <c r="E16" s="13">
        <v>0.1</v>
      </c>
      <c r="F16" s="10">
        <f>F15+0.1</f>
        <v>-1.7999999999999989</v>
      </c>
      <c r="G16" s="3">
        <f>G15+distribution02</f>
        <v>4.7688429455201638E-2</v>
      </c>
      <c r="H16">
        <f>_xlfn.NORM.DIST(G16:G76,MOYENNE02,Ecart_type02,FALSE)</f>
        <v>2.1877044870484723</v>
      </c>
    </row>
    <row r="17" spans="3:15" x14ac:dyDescent="0.3">
      <c r="C17" s="1" t="s">
        <v>44</v>
      </c>
      <c r="D17" s="2">
        <v>12000</v>
      </c>
      <c r="E17" s="13">
        <v>0.1</v>
      </c>
      <c r="F17" s="10">
        <f>F16+0.1</f>
        <v>-1.6999999999999988</v>
      </c>
      <c r="G17" s="3">
        <f>G16+distribution02</f>
        <v>5.1297242197886513E-2</v>
      </c>
      <c r="H17">
        <f>_xlfn.NORM.DIST(G17:G77,MOYENNE02,Ecart_type02,FALSE)</f>
        <v>2.6060946932623725</v>
      </c>
    </row>
    <row r="18" spans="3:15" x14ac:dyDescent="0.3">
      <c r="C18" s="1" t="s">
        <v>38</v>
      </c>
      <c r="D18" s="2">
        <v>12000</v>
      </c>
      <c r="E18" s="13">
        <v>0.1</v>
      </c>
      <c r="F18" s="10">
        <f>F17+0.1</f>
        <v>-1.5999999999999988</v>
      </c>
      <c r="G18" s="3">
        <f>G17+distribution02</f>
        <v>5.4906054940571387E-2</v>
      </c>
      <c r="H18">
        <f>_xlfn.NORM.DIST(G18:G78,MOYENNE02,Ecart_type02,FALSE)</f>
        <v>3.073610147943914</v>
      </c>
    </row>
    <row r="19" spans="3:15" x14ac:dyDescent="0.3">
      <c r="C19" s="1" t="s">
        <v>12</v>
      </c>
      <c r="D19" s="2">
        <v>12000</v>
      </c>
      <c r="E19" s="13">
        <v>0.1</v>
      </c>
      <c r="F19" s="10">
        <f>F18+0.1</f>
        <v>-1.4999999999999987</v>
      </c>
      <c r="G19" s="3">
        <f>G18+distribution02</f>
        <v>5.8514867683256262E-2</v>
      </c>
      <c r="H19">
        <f>_xlfn.NORM.DIST(G19:G79,MOYENNE02,Ecart_type02,FALSE)</f>
        <v>3.5889253585802132</v>
      </c>
    </row>
    <row r="20" spans="3:15" x14ac:dyDescent="0.3">
      <c r="C20" s="1" t="s">
        <v>12</v>
      </c>
      <c r="D20" s="2">
        <v>12000</v>
      </c>
      <c r="E20" s="13">
        <v>0.1</v>
      </c>
      <c r="F20" s="10">
        <f>F19+0.1</f>
        <v>-1.3999999999999986</v>
      </c>
      <c r="G20" s="3">
        <f>G19+distribution02</f>
        <v>6.2123680425941137E-2</v>
      </c>
      <c r="H20">
        <f>_xlfn.NORM.DIST(G20:G80,MOYENNE02,Ecart_type02,FALSE)</f>
        <v>4.1489397292570747</v>
      </c>
      <c r="M20" t="s">
        <v>47</v>
      </c>
      <c r="N20">
        <v>0.11264705882352943</v>
      </c>
      <c r="O20" t="s">
        <v>58</v>
      </c>
    </row>
    <row r="21" spans="3:15" x14ac:dyDescent="0.3">
      <c r="C21" s="1" t="s">
        <v>34</v>
      </c>
      <c r="D21" s="2">
        <v>13000</v>
      </c>
      <c r="E21" s="13">
        <v>0.1</v>
      </c>
      <c r="F21" s="10">
        <f>F20+0.1</f>
        <v>-1.2999999999999985</v>
      </c>
      <c r="G21" s="3">
        <f>G20+distribution02</f>
        <v>6.5732493168626019E-2</v>
      </c>
      <c r="H21">
        <f>_xlfn.NORM.DIST(G21:G81,MOYENNE02,Ecart_type02,FALSE)</f>
        <v>4.7486141361913061</v>
      </c>
      <c r="M21" t="s">
        <v>48</v>
      </c>
      <c r="N21">
        <v>3.6088127426848769E-2</v>
      </c>
    </row>
    <row r="22" spans="3:15" x14ac:dyDescent="0.3">
      <c r="C22" s="1" t="s">
        <v>11</v>
      </c>
      <c r="D22" s="2">
        <v>13300</v>
      </c>
      <c r="E22" s="13">
        <v>0.1</v>
      </c>
      <c r="F22" s="10">
        <f>F21+0.1</f>
        <v>-1.1999999999999984</v>
      </c>
      <c r="G22" s="3">
        <f>G21+distribution02</f>
        <v>6.9341305911310894E-2</v>
      </c>
      <c r="H22">
        <f>_xlfn.NORM.DIST(G22:G82,MOYENNE02,Ecart_type02,FALSE)</f>
        <v>5.3808847626364429</v>
      </c>
    </row>
    <row r="23" spans="3:15" x14ac:dyDescent="0.3">
      <c r="C23" s="1" t="s">
        <v>10</v>
      </c>
      <c r="D23" s="2">
        <v>13300</v>
      </c>
      <c r="E23" s="13">
        <v>0.1</v>
      </c>
      <c r="F23" s="10">
        <f>F22+0.1</f>
        <v>-1.0999999999999983</v>
      </c>
      <c r="G23" s="3">
        <f>G22+distribution02</f>
        <v>7.2950118653995769E-2</v>
      </c>
      <c r="H23">
        <f>_xlfn.NORM.DIST(G23:G83,MOYENNE02,Ecart_type02,FALSE)</f>
        <v>6.0366716858374092</v>
      </c>
    </row>
    <row r="24" spans="3:15" x14ac:dyDescent="0.3">
      <c r="C24" s="1" t="s">
        <v>9</v>
      </c>
      <c r="D24" s="2">
        <v>13300</v>
      </c>
      <c r="E24" s="13">
        <v>0.1</v>
      </c>
      <c r="F24" s="20">
        <f>F23+0.1</f>
        <v>-0.99999999999999833</v>
      </c>
      <c r="G24" s="19">
        <f>G23+distribution02</f>
        <v>7.6558931396680643E-2</v>
      </c>
      <c r="H24" s="18">
        <f>_xlfn.NORM.DIST(G24:G84,MOYENNE02,Ecart_type02,FALSE)</f>
        <v>6.7049952926934724</v>
      </c>
    </row>
    <row r="25" spans="3:15" x14ac:dyDescent="0.3">
      <c r="C25" s="1" t="s">
        <v>27</v>
      </c>
      <c r="D25" s="17">
        <v>15000</v>
      </c>
      <c r="E25" s="13">
        <v>0.1</v>
      </c>
      <c r="F25" s="10">
        <f>F24+0.1</f>
        <v>-0.89999999999999836</v>
      </c>
      <c r="G25" s="3">
        <f>G24+distribution02</f>
        <v>8.0167744139365518E-2</v>
      </c>
      <c r="H25">
        <f>_xlfn.NORM.DIST(G25:G85,MOYENNE02,Ecart_type02,FALSE)</f>
        <v>7.3732074471892135</v>
      </c>
    </row>
    <row r="26" spans="3:15" x14ac:dyDescent="0.3">
      <c r="C26" s="1" t="s">
        <v>27</v>
      </c>
      <c r="D26" s="2">
        <v>15000</v>
      </c>
      <c r="E26" s="13">
        <v>0.1</v>
      </c>
      <c r="F26" s="10">
        <f>F25+0.1</f>
        <v>-0.79999999999999838</v>
      </c>
      <c r="G26" s="3">
        <f>G25+distribution02</f>
        <v>8.3776556882050393E-2</v>
      </c>
      <c r="H26">
        <f>_xlfn.NORM.DIST(G26:G86,MOYENNE02,Ecart_type02,FALSE)</f>
        <v>8.02733678406263</v>
      </c>
    </row>
    <row r="27" spans="3:15" x14ac:dyDescent="0.3">
      <c r="C27" s="1" t="s">
        <v>30</v>
      </c>
      <c r="D27" s="2">
        <v>15000</v>
      </c>
      <c r="E27" s="13">
        <v>0.1</v>
      </c>
      <c r="F27" s="10">
        <f>F26+0.1</f>
        <v>-0.6999999999999984</v>
      </c>
      <c r="G27" s="3">
        <f>G26+distribution02</f>
        <v>8.7385369624735268E-2</v>
      </c>
      <c r="H27">
        <f>_xlfn.NORM.DIST(G27:G87,MOYENNE02,Ecart_type02,FALSE)</f>
        <v>8.6525390933543171</v>
      </c>
    </row>
    <row r="28" spans="3:15" x14ac:dyDescent="0.3">
      <c r="C28" s="1" t="s">
        <v>29</v>
      </c>
      <c r="D28" s="2">
        <v>15000</v>
      </c>
      <c r="E28" s="13">
        <v>0.1</v>
      </c>
      <c r="F28" s="10">
        <f>F27+0.1</f>
        <v>-0.59999999999999842</v>
      </c>
      <c r="G28" s="3">
        <f>G27+distribution02</f>
        <v>9.0994182367420143E-2</v>
      </c>
      <c r="H28">
        <f>_xlfn.NORM.DIST(G28:G88,MOYENNE02,Ecart_type02,FALSE)</f>
        <v>9.2336351773100809</v>
      </c>
    </row>
    <row r="29" spans="3:15" x14ac:dyDescent="0.3">
      <c r="C29" s="1" t="s">
        <v>27</v>
      </c>
      <c r="D29" s="2">
        <v>15000</v>
      </c>
      <c r="E29" s="13">
        <v>0.1</v>
      </c>
      <c r="F29" s="10">
        <f>F28+0.1</f>
        <v>-0.49999999999999845</v>
      </c>
      <c r="G29" s="3">
        <f>G28+distribution02</f>
        <v>9.4602995110105018E-2</v>
      </c>
      <c r="H29">
        <f>_xlfn.NORM.DIST(G29:G89,MOYENNE02,Ecart_type02,FALSE)</f>
        <v>9.7557105859244597</v>
      </c>
    </row>
    <row r="30" spans="3:15" x14ac:dyDescent="0.3">
      <c r="C30" s="1" t="s">
        <v>27</v>
      </c>
      <c r="D30" s="2">
        <v>15000</v>
      </c>
      <c r="E30" s="13">
        <v>0.1</v>
      </c>
      <c r="F30" s="10">
        <f>F29+0.1</f>
        <v>-0.39999999999999847</v>
      </c>
      <c r="G30" s="3">
        <f>G29+distribution02</f>
        <v>9.8211807852789892E-2</v>
      </c>
      <c r="H30">
        <f>_xlfn.NORM.DIST(G30:G90,MOYENNE02,Ecart_type02,FALSE)</f>
        <v>10.204745066083378</v>
      </c>
    </row>
    <row r="31" spans="3:15" x14ac:dyDescent="0.3">
      <c r="C31" s="1" t="s">
        <v>8</v>
      </c>
      <c r="D31" s="2">
        <v>14000</v>
      </c>
      <c r="E31" s="13">
        <v>0.105</v>
      </c>
      <c r="F31" s="10">
        <f>F30+0.1</f>
        <v>-0.29999999999999849</v>
      </c>
      <c r="G31" s="3">
        <f>G30+distribution02</f>
        <v>0.10182062059547477</v>
      </c>
      <c r="H31">
        <f>_xlfn.NORM.DIST(G31:G91,MOYENNE02,Ecart_type02,FALSE)</f>
        <v>10.56823511371166</v>
      </c>
    </row>
    <row r="32" spans="3:15" x14ac:dyDescent="0.3">
      <c r="C32" s="1" t="s">
        <v>40</v>
      </c>
      <c r="D32" s="2">
        <v>10000</v>
      </c>
      <c r="E32" s="13">
        <v>0.11</v>
      </c>
      <c r="F32" s="10">
        <f>F31+0.1</f>
        <v>-0.19999999999999848</v>
      </c>
      <c r="G32" s="3">
        <f>G31+distribution02</f>
        <v>0.10542943333815964</v>
      </c>
      <c r="H32">
        <f>_xlfn.NORM.DIST(G32:G92,MOYENNE02,Ecart_type02,FALSE)</f>
        <v>10.835771259345773</v>
      </c>
    </row>
    <row r="33" spans="3:8" x14ac:dyDescent="0.3">
      <c r="C33" s="1" t="s">
        <v>40</v>
      </c>
      <c r="D33" s="2">
        <v>10000</v>
      </c>
      <c r="E33" s="13">
        <v>0.11</v>
      </c>
      <c r="F33" s="10">
        <f>F32+0.1</f>
        <v>-9.9999999999998479E-2</v>
      </c>
      <c r="G33" s="3">
        <f>G32+distribution02</f>
        <v>0.10903824608084452</v>
      </c>
      <c r="H33">
        <f>_xlfn.NORM.DIST(G33:G93,MOYENNE02,Ecart_type02,FALSE)</f>
        <v>10.999532970549417</v>
      </c>
    </row>
    <row r="34" spans="3:8" x14ac:dyDescent="0.3">
      <c r="C34" s="1" t="s">
        <v>31</v>
      </c>
      <c r="D34" s="2">
        <v>15000</v>
      </c>
      <c r="E34" s="13">
        <v>0.11</v>
      </c>
      <c r="F34" s="10">
        <f>F33+0.1</f>
        <v>1.5265566588595902E-15</v>
      </c>
      <c r="G34" s="3">
        <f>G33+distribution02</f>
        <v>0.11264705882352939</v>
      </c>
      <c r="H34">
        <f>_xlfn.NORM.DIST(G34:G94,MOYENNE02,Ecart_type02,FALSE)</f>
        <v>11.054668359007968</v>
      </c>
    </row>
    <row r="35" spans="3:8" x14ac:dyDescent="0.3">
      <c r="C35" s="1" t="s">
        <v>14</v>
      </c>
      <c r="D35" s="2">
        <v>10000</v>
      </c>
      <c r="E35" s="13">
        <v>0.12</v>
      </c>
      <c r="F35" s="10">
        <f>F34+0.1</f>
        <v>0.10000000000000153</v>
      </c>
      <c r="G35" s="3">
        <f>G34+distribution02</f>
        <v>0.11625587156621427</v>
      </c>
      <c r="H35">
        <f>_xlfn.NORM.DIST(G35:G95,MOYENNE02,Ecart_type02,FALSE)</f>
        <v>10.999532970549419</v>
      </c>
    </row>
    <row r="36" spans="3:8" x14ac:dyDescent="0.3">
      <c r="C36" s="1" t="s">
        <v>35</v>
      </c>
      <c r="D36" s="2">
        <v>12000</v>
      </c>
      <c r="E36" s="13">
        <v>0.12</v>
      </c>
      <c r="F36" s="10">
        <f>F35+0.1</f>
        <v>0.20000000000000154</v>
      </c>
      <c r="G36" s="3">
        <f>G35+distribution02</f>
        <v>0.11986468430889914</v>
      </c>
      <c r="H36">
        <f>_xlfn.NORM.DIST(G36:G96,MOYENNE02,Ecart_type02,FALSE)</f>
        <v>10.83577125934578</v>
      </c>
    </row>
    <row r="37" spans="3:8" x14ac:dyDescent="0.3">
      <c r="C37" s="1" t="s">
        <v>27</v>
      </c>
      <c r="D37" s="2">
        <v>12000</v>
      </c>
      <c r="E37" s="13">
        <v>0.12</v>
      </c>
      <c r="F37" s="10">
        <f>F36+0.1</f>
        <v>0.30000000000000154</v>
      </c>
      <c r="G37" s="3">
        <f>G36+distribution02</f>
        <v>0.12347349705158402</v>
      </c>
      <c r="H37">
        <f>_xlfn.NORM.DIST(G37:G97,MOYENNE02,Ecart_type02,FALSE)</f>
        <v>10.568235113711669</v>
      </c>
    </row>
    <row r="38" spans="3:8" x14ac:dyDescent="0.3">
      <c r="C38" s="1" t="s">
        <v>27</v>
      </c>
      <c r="D38" s="2">
        <v>12000</v>
      </c>
      <c r="E38" s="13">
        <v>0.12</v>
      </c>
      <c r="F38" s="10">
        <f>F37+0.1</f>
        <v>0.40000000000000158</v>
      </c>
      <c r="G38" s="3">
        <f>G37+distribution02</f>
        <v>0.12708230979426891</v>
      </c>
      <c r="H38">
        <f>_xlfn.NORM.DIST(G38:G98,MOYENNE02,Ecart_type02,FALSE)</f>
        <v>10.204745066083385</v>
      </c>
    </row>
    <row r="39" spans="3:8" x14ac:dyDescent="0.3">
      <c r="C39" s="1" t="s">
        <v>27</v>
      </c>
      <c r="D39" s="2">
        <v>12000</v>
      </c>
      <c r="E39" s="13">
        <v>0.12</v>
      </c>
      <c r="F39" s="10">
        <f>F38+0.1</f>
        <v>0.50000000000000155</v>
      </c>
      <c r="G39" s="3">
        <f>G38+distribution02</f>
        <v>0.13069112253695378</v>
      </c>
      <c r="H39">
        <f>_xlfn.NORM.DIST(G39:G99,MOYENNE02,Ecart_type02,FALSE)</f>
        <v>9.7557105859244686</v>
      </c>
    </row>
    <row r="40" spans="3:8" x14ac:dyDescent="0.3">
      <c r="C40" s="1" t="s">
        <v>27</v>
      </c>
      <c r="D40" s="2">
        <v>12000</v>
      </c>
      <c r="E40" s="13">
        <v>0.12</v>
      </c>
      <c r="F40" s="10">
        <f>F39+0.1</f>
        <v>0.60000000000000153</v>
      </c>
      <c r="G40" s="3">
        <f>G39+distribution02</f>
        <v>0.13429993527963865</v>
      </c>
      <c r="H40">
        <f>_xlfn.NORM.DIST(G40:G100,MOYENNE02,Ecart_type02,FALSE)</f>
        <v>9.2336351773100898</v>
      </c>
    </row>
    <row r="41" spans="3:8" x14ac:dyDescent="0.3">
      <c r="C41" s="1" t="s">
        <v>35</v>
      </c>
      <c r="D41" s="2">
        <v>12000</v>
      </c>
      <c r="E41" s="13">
        <v>0.12</v>
      </c>
      <c r="F41" s="10">
        <f>F40+0.1</f>
        <v>0.70000000000000151</v>
      </c>
      <c r="G41" s="3">
        <f>G40+distribution02</f>
        <v>0.13790874802232353</v>
      </c>
      <c r="H41">
        <f>_xlfn.NORM.DIST(G41:G101,MOYENNE02,Ecart_type02,FALSE)</f>
        <v>8.6525390933543296</v>
      </c>
    </row>
    <row r="42" spans="3:8" x14ac:dyDescent="0.3">
      <c r="C42" s="1" t="s">
        <v>27</v>
      </c>
      <c r="D42" s="2">
        <v>12000</v>
      </c>
      <c r="E42" s="13">
        <v>0.12</v>
      </c>
      <c r="F42" s="10">
        <f>F41+0.1</f>
        <v>0.80000000000000149</v>
      </c>
      <c r="G42" s="3">
        <f>G41+distribution02</f>
        <v>0.1415175607650084</v>
      </c>
      <c r="H42">
        <f>_xlfn.NORM.DIST(G42:G102,MOYENNE02,Ecart_type02,FALSE)</f>
        <v>8.0273367840626424</v>
      </c>
    </row>
    <row r="43" spans="3:8" x14ac:dyDescent="0.3">
      <c r="C43" s="1" t="s">
        <v>27</v>
      </c>
      <c r="D43" s="2">
        <v>15000</v>
      </c>
      <c r="E43" s="13">
        <v>0.12</v>
      </c>
      <c r="F43" s="10">
        <f>F42+0.1</f>
        <v>0.90000000000000147</v>
      </c>
      <c r="G43" s="3">
        <f>G42+distribution02</f>
        <v>0.14512637350769328</v>
      </c>
      <c r="H43">
        <f>_xlfn.NORM.DIST(G43:G103,MOYENNE02,Ecart_type02,FALSE)</f>
        <v>7.3732074471892268</v>
      </c>
    </row>
    <row r="44" spans="3:8" x14ac:dyDescent="0.3">
      <c r="C44" s="1" t="s">
        <v>18</v>
      </c>
      <c r="D44" s="2">
        <v>15000</v>
      </c>
      <c r="E44" s="13">
        <v>0.12</v>
      </c>
      <c r="F44" s="10">
        <f>F43+0.1</f>
        <v>1.0000000000000016</v>
      </c>
      <c r="G44" s="3">
        <f>G43+distribution02</f>
        <v>0.14873518625037815</v>
      </c>
      <c r="H44">
        <f>_xlfn.NORM.DIST(G44:G104,MOYENNE02,Ecart_type02,FALSE)</f>
        <v>6.7049952926934848</v>
      </c>
    </row>
    <row r="45" spans="3:8" x14ac:dyDescent="0.3">
      <c r="C45" s="1" t="s">
        <v>28</v>
      </c>
      <c r="D45" s="2">
        <v>15000</v>
      </c>
      <c r="E45" s="13">
        <v>0.13500000000000001</v>
      </c>
      <c r="F45" s="10">
        <f>F44+0.1</f>
        <v>1.1000000000000016</v>
      </c>
      <c r="G45" s="3">
        <f>G44+distribution02</f>
        <v>0.15234399899306303</v>
      </c>
      <c r="H45">
        <f>_xlfn.NORM.DIST(G45:G105,MOYENNE02,Ecart_type02,FALSE)</f>
        <v>6.0366716858374234</v>
      </c>
    </row>
    <row r="46" spans="3:8" x14ac:dyDescent="0.3">
      <c r="C46" s="1" t="s">
        <v>5</v>
      </c>
      <c r="D46" s="2">
        <v>15000</v>
      </c>
      <c r="E46" s="13">
        <v>0.13500000000000001</v>
      </c>
      <c r="F46" s="10">
        <f>F45+0.1</f>
        <v>1.2000000000000017</v>
      </c>
      <c r="G46" s="3">
        <f>G45+distribution02</f>
        <v>0.1559528117357479</v>
      </c>
      <c r="H46">
        <f>_xlfn.NORM.DIST(G46:G106,MOYENNE02,Ecart_type02,FALSE)</f>
        <v>5.3808847626364553</v>
      </c>
    </row>
    <row r="47" spans="3:8" x14ac:dyDescent="0.3">
      <c r="C47" s="1" t="s">
        <v>4</v>
      </c>
      <c r="D47" s="17">
        <v>15000</v>
      </c>
      <c r="E47" s="13">
        <v>0.13500000000000001</v>
      </c>
      <c r="F47" s="10">
        <f>F46+0.1</f>
        <v>1.3000000000000018</v>
      </c>
      <c r="G47" s="3">
        <f>G46+distribution02</f>
        <v>0.15956162447843278</v>
      </c>
      <c r="H47">
        <f>_xlfn.NORM.DIST(G47:G107,MOYENNE02,Ecart_type02,FALSE)</f>
        <v>4.7486141361913186</v>
      </c>
    </row>
    <row r="48" spans="3:8" x14ac:dyDescent="0.3">
      <c r="C48" s="1" t="s">
        <v>36</v>
      </c>
      <c r="D48" s="2">
        <v>12000</v>
      </c>
      <c r="E48" s="13">
        <v>0.14499999999999999</v>
      </c>
      <c r="F48" s="10">
        <f>F47+0.1</f>
        <v>1.4000000000000019</v>
      </c>
      <c r="G48" s="3">
        <f>G47+distribution02</f>
        <v>0.16317043722111765</v>
      </c>
      <c r="H48">
        <f>_xlfn.NORM.DIST(G48:G108,MOYENNE02,Ecart_type02,FALSE)</f>
        <v>4.148939729257088</v>
      </c>
    </row>
    <row r="49" spans="3:8" x14ac:dyDescent="0.3">
      <c r="C49" s="1" t="s">
        <v>37</v>
      </c>
      <c r="D49" s="2">
        <v>12000</v>
      </c>
      <c r="E49" s="13">
        <v>0.16</v>
      </c>
      <c r="F49" s="10">
        <f>F48+0.1</f>
        <v>1.500000000000002</v>
      </c>
      <c r="G49" s="3">
        <f>G48+distribution02</f>
        <v>0.16677924996380253</v>
      </c>
      <c r="H49">
        <f>_xlfn.NORM.DIST(G49:G109,MOYENNE02,Ecart_type02,FALSE)</f>
        <v>3.5889253585802239</v>
      </c>
    </row>
    <row r="50" spans="3:8" x14ac:dyDescent="0.3">
      <c r="C50" s="1" t="s">
        <v>25</v>
      </c>
      <c r="D50" s="17">
        <v>15000</v>
      </c>
      <c r="E50" s="13">
        <v>0.17499999999999999</v>
      </c>
      <c r="F50" s="10">
        <f>F49+0.1</f>
        <v>1.6000000000000021</v>
      </c>
      <c r="G50" s="3">
        <f>G49+distribution02</f>
        <v>0.1703880627064874</v>
      </c>
      <c r="H50">
        <f>_xlfn.NORM.DIST(G50:G110,MOYENNE02,Ecart_type02,FALSE)</f>
        <v>3.0736101479439246</v>
      </c>
    </row>
    <row r="51" spans="3:8" x14ac:dyDescent="0.3">
      <c r="C51" s="1" t="s">
        <v>25</v>
      </c>
      <c r="D51" s="2">
        <v>12000</v>
      </c>
      <c r="E51" s="13">
        <v>0.19</v>
      </c>
      <c r="F51" s="10">
        <f>F50+0.1</f>
        <v>1.7000000000000022</v>
      </c>
      <c r="G51" s="3">
        <f>G50+distribution02</f>
        <v>0.17399687544917228</v>
      </c>
      <c r="H51">
        <f>_xlfn.NORM.DIST(G51:G111,MOYENNE02,Ecart_type02,FALSE)</f>
        <v>2.6060946932623823</v>
      </c>
    </row>
    <row r="52" spans="3:8" x14ac:dyDescent="0.3">
      <c r="C52" s="1" t="s">
        <v>25</v>
      </c>
      <c r="D52" s="2">
        <v>14000</v>
      </c>
      <c r="E52" s="13">
        <v>0.19</v>
      </c>
      <c r="F52" s="10">
        <f>F51+0.1</f>
        <v>1.8000000000000023</v>
      </c>
      <c r="G52" s="3">
        <f>G51+distribution02</f>
        <v>0.17760568819185715</v>
      </c>
      <c r="H52">
        <f>_xlfn.NORM.DIST(G52:G112,MOYENNE02,Ecart_type02,FALSE)</f>
        <v>2.1877044870484812</v>
      </c>
    </row>
    <row r="53" spans="3:8" x14ac:dyDescent="0.3">
      <c r="C53" s="1" t="s">
        <v>25</v>
      </c>
      <c r="D53" s="2">
        <v>14000</v>
      </c>
      <c r="E53" s="13">
        <v>0.22</v>
      </c>
      <c r="F53" s="10">
        <f>F52+0.1</f>
        <v>1.9000000000000024</v>
      </c>
      <c r="G53" s="3">
        <f>G52+distribution02</f>
        <v>0.18121450093454203</v>
      </c>
      <c r="H53">
        <f>_xlfn.NORM.DIST(G53:G113,MOYENNE02,Ecart_type02,FALSE)</f>
        <v>1.8182105709885106</v>
      </c>
    </row>
    <row r="54" spans="3:8" x14ac:dyDescent="0.3">
      <c r="C54" s="1" t="s">
        <v>32</v>
      </c>
      <c r="D54" s="17">
        <v>15000</v>
      </c>
      <c r="E54" s="13">
        <v>0.22</v>
      </c>
      <c r="F54" s="10">
        <f>F53+0.1</f>
        <v>2.0000000000000022</v>
      </c>
      <c r="G54" s="3">
        <f>G53+distribution02</f>
        <v>0.1848233136772269</v>
      </c>
      <c r="H54">
        <f>_xlfn.NORM.DIST(G54:G114,MOYENNE02,Ecart_type02,FALSE)</f>
        <v>1.4960866734531697</v>
      </c>
    </row>
    <row r="55" spans="3:8" x14ac:dyDescent="0.3">
      <c r="D55" s="15" t="s">
        <v>47</v>
      </c>
      <c r="E55" s="16">
        <f>AVERAGE(E4:E54)</f>
        <v>0.11264705882352943</v>
      </c>
      <c r="F55" s="10">
        <f>F54+0.1</f>
        <v>2.1000000000000023</v>
      </c>
      <c r="G55" s="3">
        <f>G54+distribution02</f>
        <v>0.18843212641991178</v>
      </c>
      <c r="H55">
        <f>_xlfn.NORM.DIST(G55:G115,MOYENNE02,Ecart_type02,FALSE)</f>
        <v>1.2187829936475052</v>
      </c>
    </row>
    <row r="56" spans="3:8" x14ac:dyDescent="0.3">
      <c r="D56" s="15" t="s">
        <v>48</v>
      </c>
      <c r="E56" s="15">
        <f>_xlfn.STDEV.S(E4:E54)</f>
        <v>3.6088127426848769E-2</v>
      </c>
      <c r="F56" s="10">
        <f>F55+0.1</f>
        <v>2.2000000000000024</v>
      </c>
      <c r="G56" s="3">
        <f>G55+distribution02</f>
        <v>0.19204093916259665</v>
      </c>
      <c r="H56">
        <f>_xlfn.NORM.DIST(G56:G116,MOYENNE02,Ecart_type02,FALSE)</f>
        <v>0.98299899096009291</v>
      </c>
    </row>
    <row r="57" spans="3:8" x14ac:dyDescent="0.3">
      <c r="F57" s="10">
        <f>F56+0.1</f>
        <v>2.3000000000000025</v>
      </c>
      <c r="G57" s="3">
        <f>G56+distribution02</f>
        <v>0.19564975190528153</v>
      </c>
      <c r="H57">
        <f>_xlfn.NORM.DIST(G57:G117,MOYENNE02,Ecart_type02,FALSE)</f>
        <v>0.78494063730573638</v>
      </c>
    </row>
    <row r="58" spans="3:8" x14ac:dyDescent="0.3">
      <c r="D58">
        <v>-3</v>
      </c>
      <c r="E58" s="9">
        <f>MOYENNE02-3*(Ecart_type02)</f>
        <v>4.3826765429831327E-3</v>
      </c>
      <c r="F58" s="10">
        <f>F57+0.1</f>
        <v>2.4000000000000026</v>
      </c>
      <c r="G58" s="3">
        <f>G57+distribution02</f>
        <v>0.1992585646479664</v>
      </c>
      <c r="H58">
        <f>_xlfn.NORM.DIST(G58:G118,MOYENNE02,Ecart_type02,FALSE)</f>
        <v>0.62055118654291774</v>
      </c>
    </row>
    <row r="59" spans="3:8" x14ac:dyDescent="0.3">
      <c r="D59">
        <v>3</v>
      </c>
      <c r="E59" s="9">
        <f>MOYENNE02+(3*Ecart_type02)</f>
        <v>0.22091144110407573</v>
      </c>
      <c r="F59" s="10">
        <f>F58+0.1</f>
        <v>2.5000000000000027</v>
      </c>
      <c r="G59" s="3">
        <f>G58+distribution02</f>
        <v>0.20286737739065128</v>
      </c>
      <c r="H59">
        <f>_xlfn.NORM.DIST(G59:G119,MOYENNE02,Ecart_type02,FALSE)</f>
        <v>0.48570822991851786</v>
      </c>
    </row>
    <row r="60" spans="3:8" x14ac:dyDescent="0.3">
      <c r="F60" s="10">
        <f>F59+0.1</f>
        <v>2.6000000000000028</v>
      </c>
      <c r="G60" s="3">
        <f>G59+distribution02</f>
        <v>0.20647619013333615</v>
      </c>
      <c r="H60">
        <f>_xlfn.NORM.DIST(G60:G120,MOYENNE02,Ecart_type02,FALSE)</f>
        <v>0.37638332055933338</v>
      </c>
    </row>
    <row r="61" spans="3:8" x14ac:dyDescent="0.3">
      <c r="F61" s="10">
        <f>F60+0.1</f>
        <v>2.7000000000000028</v>
      </c>
      <c r="G61" s="3">
        <f>G60+distribution02</f>
        <v>0.21008500287602103</v>
      </c>
      <c r="H61">
        <f>_xlfn.NORM.DIST(G61:G121,MOYENNE02,Ecart_type02,FALSE)</f>
        <v>0.28876352300479075</v>
      </c>
    </row>
    <row r="62" spans="3:8" x14ac:dyDescent="0.3">
      <c r="F62" s="10">
        <f>F61+0.1</f>
        <v>2.8000000000000029</v>
      </c>
      <c r="G62" s="3">
        <f>G61+distribution02</f>
        <v>0.2136938156187059</v>
      </c>
      <c r="H62">
        <f>_xlfn.NORM.DIST(G62:G122,MOYENNE02,Ecart_type02,FALSE)</f>
        <v>0.21933672227867096</v>
      </c>
    </row>
    <row r="63" spans="3:8" x14ac:dyDescent="0.3">
      <c r="F63" s="10">
        <f>F62+0.1</f>
        <v>2.900000000000003</v>
      </c>
      <c r="G63" s="3">
        <f>G62+distribution02</f>
        <v>0.21730262836139078</v>
      </c>
      <c r="H63">
        <f>_xlfn.NORM.DIST(G63:G123,MOYENNE02,Ecart_type02,FALSE)</f>
        <v>0.16494434164925231</v>
      </c>
    </row>
    <row r="64" spans="3:8" x14ac:dyDescent="0.3">
      <c r="F64" s="10">
        <f>F63+0.1</f>
        <v>3.0000000000000031</v>
      </c>
      <c r="G64" s="3">
        <f>G63+distribution02</f>
        <v>0.22091144110407565</v>
      </c>
      <c r="H64">
        <f>_xlfn.NORM.DIST(G64:G124,MOYENNE02,Ecart_type02,FALSE)</f>
        <v>0.12280627253163724</v>
      </c>
    </row>
    <row r="66" spans="3:5" x14ac:dyDescent="0.3">
      <c r="D66" s="12" t="s">
        <v>54</v>
      </c>
      <c r="E66">
        <f>MOYENNE02+((Ecart_type02*3))</f>
        <v>0.22091144110407573</v>
      </c>
    </row>
    <row r="67" spans="3:5" x14ac:dyDescent="0.3">
      <c r="D67" s="12" t="s">
        <v>55</v>
      </c>
      <c r="E67">
        <f>MOYENNE02-((Ecart_type02*3))</f>
        <v>4.3826765429831327E-3</v>
      </c>
    </row>
    <row r="68" spans="3:5" ht="43.2" x14ac:dyDescent="0.3">
      <c r="D68" s="11" t="s">
        <v>53</v>
      </c>
      <c r="E68">
        <f>E66-E67</f>
        <v>0.2165287645610926</v>
      </c>
    </row>
    <row r="69" spans="3:5" ht="28.8" x14ac:dyDescent="0.3">
      <c r="C69" s="14" t="s">
        <v>59</v>
      </c>
      <c r="D69" s="11" t="s">
        <v>56</v>
      </c>
      <c r="E69">
        <f>E68/60</f>
        <v>3.6088127426848766E-3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Échantillon #1</vt:lpstr>
      <vt:lpstr>Loi normale Excel</vt:lpstr>
      <vt:lpstr>Échantillon #3 +Épurée (2)</vt:lpstr>
      <vt:lpstr>Échantillon #3 + LNS</vt:lpstr>
      <vt:lpstr>Échantillon #3 + LNS exp</vt:lpstr>
      <vt:lpstr>'Échantillon #3 + LNS exp'!distribution02</vt:lpstr>
      <vt:lpstr>distribution02</vt:lpstr>
      <vt:lpstr>'Échantillon #3 + LNS'!Ecart_type02</vt:lpstr>
      <vt:lpstr>'Échantillon #3 + LNS exp'!Ecart_type02</vt:lpstr>
      <vt:lpstr>'Échantillon #3 +Épurée (2)'!Ecart_type02</vt:lpstr>
      <vt:lpstr>Ecart_type02</vt:lpstr>
      <vt:lpstr>'Échantillon #3 + LNS'!MOYENNE02</vt:lpstr>
      <vt:lpstr>'Échantillon #3 + LNS exp'!MOYENNE02</vt:lpstr>
      <vt:lpstr>'Échantillon #3 +Épurée (2)'!MOYENNE02</vt:lpstr>
      <vt:lpstr>MOYENNE02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 St Hilaire</dc:creator>
  <cp:lastModifiedBy>Jac ST-H</cp:lastModifiedBy>
  <dcterms:created xsi:type="dcterms:W3CDTF">2018-02-23T21:04:33Z</dcterms:created>
  <dcterms:modified xsi:type="dcterms:W3CDTF">2025-02-06T22:01:55Z</dcterms:modified>
</cp:coreProperties>
</file>